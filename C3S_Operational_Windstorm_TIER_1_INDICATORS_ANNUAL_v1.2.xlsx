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hitelawa\Desktop\WISC Ops checks T1\"/>
    </mc:Choice>
  </mc:AlternateContent>
  <bookViews>
    <workbookView xWindow="0" yWindow="0" windowWidth="28800" windowHeight="14685" firstSheet="1" activeTab="1"/>
  </bookViews>
  <sheets>
    <sheet name="Europe" sheetId="3" r:id="rId1"/>
    <sheet name="UK" sheetId="8" r:id="rId2"/>
    <sheet name="France" sheetId="4" r:id="rId3"/>
    <sheet name="Germany" sheetId="5" r:id="rId4"/>
    <sheet name="BeNeLux Only" sheetId="1" r:id="rId5"/>
    <sheet name="BeNeLux + Denmark" sheetId="2" r:id="rId6"/>
    <sheet name="Scandinavia" sheetId="7" r:id="rId7"/>
    <sheet name="Iberia" sheetId="6" r:id="rId8"/>
  </sheets>
  <calcPr calcId="162913"/>
</workbook>
</file>

<file path=xl/calcChain.xml><?xml version="1.0" encoding="utf-8"?>
<calcChain xmlns="http://schemas.openxmlformats.org/spreadsheetml/2006/main">
  <c r="M44" i="4" l="1"/>
  <c r="L44" i="5"/>
  <c r="M44" i="5"/>
  <c r="M44" i="6"/>
  <c r="I44" i="6"/>
  <c r="J44" i="6"/>
  <c r="L44" i="6"/>
  <c r="G45" i="6" l="1"/>
  <c r="I45" i="2"/>
  <c r="G45" i="2"/>
  <c r="E45" i="2"/>
  <c r="C45" i="2"/>
  <c r="B45" i="2"/>
  <c r="M44" i="2"/>
  <c r="L44" i="2"/>
  <c r="K44" i="2"/>
  <c r="J44" i="2"/>
  <c r="I44" i="2"/>
  <c r="H44" i="2"/>
  <c r="G44" i="2"/>
  <c r="F44" i="2"/>
  <c r="E44" i="2"/>
  <c r="D44" i="2"/>
  <c r="C44" i="2"/>
  <c r="B44" i="2"/>
  <c r="I45" i="1"/>
  <c r="G45" i="1"/>
  <c r="E45" i="1"/>
  <c r="C45" i="1"/>
  <c r="B45" i="1"/>
  <c r="M44" i="1"/>
  <c r="L44" i="1"/>
  <c r="K44" i="1"/>
  <c r="J44" i="1"/>
  <c r="I44" i="1"/>
  <c r="H44" i="1"/>
  <c r="G44" i="1"/>
  <c r="F44" i="1"/>
  <c r="E44" i="1"/>
  <c r="D44" i="1"/>
  <c r="C44" i="1"/>
  <c r="B44" i="1"/>
  <c r="I45" i="3"/>
  <c r="G45" i="3"/>
  <c r="E45" i="3"/>
  <c r="C45" i="3"/>
  <c r="B45" i="3"/>
  <c r="M44" i="3"/>
  <c r="L44" i="3"/>
  <c r="K44" i="3"/>
  <c r="J44" i="3"/>
  <c r="I44" i="3"/>
  <c r="H44" i="3"/>
  <c r="G44" i="3"/>
  <c r="F44" i="3"/>
  <c r="E44" i="3"/>
  <c r="D44" i="3"/>
  <c r="C44" i="3"/>
  <c r="B44" i="3"/>
  <c r="I45" i="4"/>
  <c r="G45" i="4"/>
  <c r="E45" i="4"/>
  <c r="C45" i="4"/>
  <c r="B45" i="4"/>
  <c r="L44" i="4"/>
  <c r="K44" i="4"/>
  <c r="J44" i="4"/>
  <c r="I44" i="4"/>
  <c r="H44" i="4"/>
  <c r="G44" i="4"/>
  <c r="F44" i="4"/>
  <c r="E44" i="4"/>
  <c r="D44" i="4"/>
  <c r="C44" i="4"/>
  <c r="B44" i="4"/>
  <c r="I45" i="5"/>
  <c r="G45" i="5"/>
  <c r="E45" i="5"/>
  <c r="C45" i="5"/>
  <c r="B45" i="5"/>
  <c r="K44" i="5"/>
  <c r="J44" i="5"/>
  <c r="I44" i="5"/>
  <c r="H44" i="5"/>
  <c r="G44" i="5"/>
  <c r="F44" i="5"/>
  <c r="E44" i="5"/>
  <c r="D44" i="5"/>
  <c r="C44" i="5"/>
  <c r="B44" i="5"/>
  <c r="I45" i="6"/>
  <c r="E45" i="6"/>
  <c r="C45" i="6"/>
  <c r="B45" i="6"/>
  <c r="K44" i="6"/>
  <c r="H44" i="6"/>
  <c r="G44" i="6"/>
  <c r="F44" i="6"/>
  <c r="E44" i="6"/>
  <c r="D44" i="6"/>
  <c r="C44" i="6"/>
  <c r="B44" i="6"/>
  <c r="M44" i="7"/>
  <c r="L44" i="7"/>
  <c r="K44" i="7"/>
  <c r="J44" i="7"/>
  <c r="I44" i="7"/>
  <c r="H44" i="7"/>
  <c r="G44" i="7"/>
  <c r="F44" i="7"/>
  <c r="E44" i="7"/>
  <c r="D44" i="7"/>
  <c r="C44" i="7"/>
  <c r="B44" i="7"/>
  <c r="I45" i="7"/>
  <c r="G45" i="7"/>
  <c r="E45" i="7"/>
  <c r="C45" i="7"/>
  <c r="B45" i="7"/>
  <c r="I45" i="8"/>
  <c r="G45" i="8"/>
  <c r="E45" i="8"/>
  <c r="B45" i="8"/>
  <c r="C45" i="8"/>
  <c r="M44" i="8"/>
  <c r="L44" i="8"/>
  <c r="K44" i="8"/>
  <c r="J44" i="8"/>
  <c r="I44" i="8"/>
  <c r="H44" i="8"/>
  <c r="G44" i="8"/>
  <c r="F44" i="8"/>
  <c r="E44" i="8"/>
  <c r="D44" i="8"/>
  <c r="C44" i="8"/>
  <c r="B44" i="8"/>
</calcChain>
</file>

<file path=xl/sharedStrings.xml><?xml version="1.0" encoding="utf-8"?>
<sst xmlns="http://schemas.openxmlformats.org/spreadsheetml/2006/main" count="128" uniqueCount="19">
  <si>
    <t>Mean</t>
  </si>
  <si>
    <t>TOTAL</t>
  </si>
  <si>
    <t>Year*</t>
  </si>
  <si>
    <t>* Year corresponds to season (e.g. 1979 corresponds to October 1979 to March 1980)</t>
  </si>
  <si>
    <t>Number of extreme windstorms
(&gt; 15.6m/s)</t>
  </si>
  <si>
    <t>Number of extreme windstorms
(&gt; 20.0m/s)</t>
  </si>
  <si>
    <t>Mean severity of extreme windstorms (SSI)
(&gt;15.6m/s)</t>
  </si>
  <si>
    <t>Mean severity of extreme windstorms (SSI)
(&gt;20.0m/s)</t>
  </si>
  <si>
    <t>Mean severity of extreme windstorms (SSI)
(&gt;25.0m/s)</t>
  </si>
  <si>
    <t>Number of extreme windstorms
(&gt; 25.0m/s)</t>
  </si>
  <si>
    <t>Number of windstorms (vorticity)</t>
  </si>
  <si>
    <t>Number of windstorms
(u10 land only)</t>
  </si>
  <si>
    <t>Mean maximum wind speed
(u10m land only) 
(&gt; 0.0m/s)</t>
  </si>
  <si>
    <t>Mean maximum wind speed
(u10m land only) 
(&gt; 15.6m/s)</t>
  </si>
  <si>
    <t>Mean maximum wind speed
(u10m land only) 
(&gt; 20.0m/s)</t>
  </si>
  <si>
    <t>Mean maximum wind speed
(u10m land only) 
(&gt; 25.0m/s)</t>
  </si>
  <si>
    <t>Number of extreme windstorms
(u10m land only) 
(&gt; 15.6m/s)</t>
  </si>
  <si>
    <t>Number of extreme windstorms
(u10m land only)
(&gt; 20.0m/s)</t>
  </si>
  <si>
    <t>Number of extreme windstorms
(u10m land only) 
(&gt; 25.0m/s)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</si>
</sst>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7A0B2C"/>
        <bgColor indexed="64"/>
      </patternFill>
    </fill>
  </fills>
  <borders count="2">
    <border>
      <left/>
      <right/>
      <top/>
      <bottom/>
      <diagonal/>
    </border>
    <border>
      <left style="thin">
        <color rgb="FF7A0B2C"/>
      </left>
      <right style="thin">
        <color rgb="FF7A0B2C"/>
      </right>
      <top style="thin">
        <color rgb="FF7A0B2C"/>
      </top>
      <bottom style="thin">
        <color rgb="FF7A0B2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xf numFmtId="3" fontId="0" fillId="0" borderId="1" xfId="0" applyNumberFormat="1" applyBorder="1"/>
    <xf numFmtId="0" fontId="1" fillId="2" borderId="1" xfId="0" applyFont="1" applyFill="1" applyBorder="1"/>
    <xf numFmtId="2" fontId="1" fillId="2" borderId="1" xfId="0" applyNumberFormat="1" applyFont="1" applyFill="1" applyBorder="1"/>
    <xf numFmtId="3" fontId="1" fillId="2" borderId="1" xfId="0" applyNumberFormat="1" applyFont="1" applyFill="1" applyBorder="1"/>
    <xf numFmtId="0" fontId="1" fillId="2" borderId="0" xfId="0" applyFont="1" applyFill="1"/>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7A0B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opLeftCell="D1" workbookViewId="0">
      <selection sqref="A1:M1"/>
    </sheetView>
  </sheetViews>
  <sheetFormatPr defaultRowHeight="15" x14ac:dyDescent="0.25"/>
  <cols>
    <col min="2" max="13" width="16.7109375" customWidth="1"/>
  </cols>
  <sheetData>
    <row r="1" spans="1:13" ht="60" x14ac:dyDescent="0.25">
      <c r="A1" s="1" t="s">
        <v>2</v>
      </c>
      <c r="B1" s="1" t="s">
        <v>10</v>
      </c>
      <c r="C1" s="1" t="s">
        <v>11</v>
      </c>
      <c r="D1" s="1" t="s">
        <v>12</v>
      </c>
      <c r="E1" s="1" t="s">
        <v>4</v>
      </c>
      <c r="F1" s="1" t="s">
        <v>13</v>
      </c>
      <c r="G1" s="1" t="s">
        <v>5</v>
      </c>
      <c r="H1" s="1" t="s">
        <v>14</v>
      </c>
      <c r="I1" s="1" t="s">
        <v>9</v>
      </c>
      <c r="J1" s="1" t="s">
        <v>15</v>
      </c>
      <c r="K1" s="1" t="s">
        <v>6</v>
      </c>
      <c r="L1" s="1" t="s">
        <v>7</v>
      </c>
      <c r="M1" s="1" t="s">
        <v>8</v>
      </c>
    </row>
    <row r="2" spans="1:13" x14ac:dyDescent="0.25">
      <c r="A2" s="1">
        <v>1979</v>
      </c>
      <c r="B2" s="2">
        <v>107</v>
      </c>
      <c r="C2" s="2">
        <v>58</v>
      </c>
      <c r="D2" s="2">
        <v>16.29</v>
      </c>
      <c r="E2" s="2">
        <v>32</v>
      </c>
      <c r="F2" s="2">
        <v>19.510000000000002</v>
      </c>
      <c r="G2" s="2">
        <v>12</v>
      </c>
      <c r="H2" s="2">
        <v>23.14</v>
      </c>
      <c r="I2" s="2">
        <v>2</v>
      </c>
      <c r="J2" s="2">
        <v>26.96</v>
      </c>
      <c r="K2" s="3">
        <v>54415834.200000003</v>
      </c>
      <c r="L2" s="3">
        <v>20232702.600000001</v>
      </c>
      <c r="M2" s="3">
        <v>7454515.4000000004</v>
      </c>
    </row>
    <row r="3" spans="1:13" x14ac:dyDescent="0.25">
      <c r="A3" s="1">
        <v>1980</v>
      </c>
      <c r="B3" s="2">
        <v>115</v>
      </c>
      <c r="C3" s="2">
        <v>69</v>
      </c>
      <c r="D3" s="2">
        <v>16.940000000000001</v>
      </c>
      <c r="E3" s="2">
        <v>46</v>
      </c>
      <c r="F3" s="2">
        <v>19.170000000000002</v>
      </c>
      <c r="G3" s="2">
        <v>16</v>
      </c>
      <c r="H3" s="2">
        <v>21.91</v>
      </c>
      <c r="I3" s="2">
        <v>1</v>
      </c>
      <c r="J3" s="2">
        <v>25.26</v>
      </c>
      <c r="K3" s="3">
        <v>52994965</v>
      </c>
      <c r="L3" s="3">
        <v>29375967.300000001</v>
      </c>
      <c r="M3" s="3">
        <v>0</v>
      </c>
    </row>
    <row r="4" spans="1:13" x14ac:dyDescent="0.25">
      <c r="A4" s="1">
        <v>1981</v>
      </c>
      <c r="B4" s="2">
        <v>111</v>
      </c>
      <c r="C4" s="2">
        <v>64</v>
      </c>
      <c r="D4" s="2">
        <v>16.2</v>
      </c>
      <c r="E4" s="2">
        <v>39</v>
      </c>
      <c r="F4" s="2">
        <v>18.89</v>
      </c>
      <c r="G4" s="2">
        <v>13</v>
      </c>
      <c r="H4" s="2">
        <v>21.57</v>
      </c>
      <c r="I4" s="2">
        <v>0</v>
      </c>
      <c r="J4" s="2">
        <v>0</v>
      </c>
      <c r="K4" s="3">
        <v>48479658.5</v>
      </c>
      <c r="L4" s="3">
        <v>14759078.6</v>
      </c>
      <c r="M4" s="3">
        <v>0</v>
      </c>
    </row>
    <row r="5" spans="1:13" x14ac:dyDescent="0.25">
      <c r="A5" s="1">
        <v>1982</v>
      </c>
      <c r="B5" s="2">
        <v>110</v>
      </c>
      <c r="C5" s="2">
        <v>51</v>
      </c>
      <c r="D5" s="2">
        <v>16.39</v>
      </c>
      <c r="E5" s="2">
        <v>27</v>
      </c>
      <c r="F5" s="2">
        <v>19.399999999999999</v>
      </c>
      <c r="G5" s="2">
        <v>12</v>
      </c>
      <c r="H5" s="2">
        <v>21.83</v>
      </c>
      <c r="I5" s="2">
        <v>0</v>
      </c>
      <c r="J5" s="2">
        <v>0</v>
      </c>
      <c r="K5" s="3">
        <v>83232126.299999997</v>
      </c>
      <c r="L5" s="3">
        <v>38015881.100000001</v>
      </c>
      <c r="M5" s="3">
        <v>0</v>
      </c>
    </row>
    <row r="6" spans="1:13" x14ac:dyDescent="0.25">
      <c r="A6" s="1">
        <v>1983</v>
      </c>
      <c r="B6" s="2">
        <v>114</v>
      </c>
      <c r="C6" s="2">
        <v>58</v>
      </c>
      <c r="D6" s="2">
        <v>16.5</v>
      </c>
      <c r="E6" s="2">
        <v>36</v>
      </c>
      <c r="F6" s="2">
        <v>19.61</v>
      </c>
      <c r="G6" s="2">
        <v>16</v>
      </c>
      <c r="H6" s="2">
        <v>22.68</v>
      </c>
      <c r="I6" s="2">
        <v>1</v>
      </c>
      <c r="J6" s="2">
        <v>27.77</v>
      </c>
      <c r="K6" s="3">
        <v>104249157.40000001</v>
      </c>
      <c r="L6" s="3">
        <v>38116717.600000001</v>
      </c>
      <c r="M6" s="3">
        <v>18098339.899999999</v>
      </c>
    </row>
    <row r="7" spans="1:13" x14ac:dyDescent="0.25">
      <c r="A7" s="1">
        <v>1984</v>
      </c>
      <c r="B7" s="2">
        <v>98</v>
      </c>
      <c r="C7" s="2">
        <v>48</v>
      </c>
      <c r="D7" s="2">
        <v>15.49</v>
      </c>
      <c r="E7" s="2">
        <v>25</v>
      </c>
      <c r="F7" s="2">
        <v>18.7</v>
      </c>
      <c r="G7" s="2">
        <v>9</v>
      </c>
      <c r="H7" s="2">
        <v>21.12</v>
      </c>
      <c r="I7" s="2">
        <v>1</v>
      </c>
      <c r="J7" s="2">
        <v>25.91</v>
      </c>
      <c r="K7" s="3">
        <v>27511240.199999999</v>
      </c>
      <c r="L7" s="3">
        <v>18342915</v>
      </c>
      <c r="M7" s="3">
        <v>0</v>
      </c>
    </row>
    <row r="8" spans="1:13" x14ac:dyDescent="0.25">
      <c r="A8" s="1">
        <v>1985</v>
      </c>
      <c r="B8" s="2">
        <v>112</v>
      </c>
      <c r="C8" s="2">
        <v>62</v>
      </c>
      <c r="D8" s="2">
        <v>15.25</v>
      </c>
      <c r="E8" s="2">
        <v>30</v>
      </c>
      <c r="F8" s="2">
        <v>18.75</v>
      </c>
      <c r="G8" s="2">
        <v>6</v>
      </c>
      <c r="H8" s="2">
        <v>23.2</v>
      </c>
      <c r="I8" s="2">
        <v>1</v>
      </c>
      <c r="J8" s="2">
        <v>27.33</v>
      </c>
      <c r="K8" s="3">
        <v>49949553.600000001</v>
      </c>
      <c r="L8" s="3">
        <v>37381912</v>
      </c>
      <c r="M8" s="3">
        <v>9798525.9000000004</v>
      </c>
    </row>
    <row r="9" spans="1:13" x14ac:dyDescent="0.25">
      <c r="A9" s="1">
        <v>1986</v>
      </c>
      <c r="B9" s="2">
        <v>107</v>
      </c>
      <c r="C9" s="2">
        <v>65</v>
      </c>
      <c r="D9" s="2">
        <v>15.65</v>
      </c>
      <c r="E9" s="2">
        <v>34</v>
      </c>
      <c r="F9" s="2">
        <v>19.29</v>
      </c>
      <c r="G9" s="2">
        <v>10</v>
      </c>
      <c r="H9" s="2">
        <v>22.12</v>
      </c>
      <c r="I9" s="2">
        <v>0</v>
      </c>
      <c r="J9" s="2">
        <v>0</v>
      </c>
      <c r="K9" s="3">
        <v>47257529.5</v>
      </c>
      <c r="L9" s="3">
        <v>23908965.600000001</v>
      </c>
      <c r="M9" s="3">
        <v>0</v>
      </c>
    </row>
    <row r="10" spans="1:13" x14ac:dyDescent="0.25">
      <c r="A10" s="1">
        <v>1987</v>
      </c>
      <c r="B10" s="2">
        <v>120</v>
      </c>
      <c r="C10" s="2">
        <v>53</v>
      </c>
      <c r="D10" s="2">
        <v>16.329999999999998</v>
      </c>
      <c r="E10" s="2">
        <v>30</v>
      </c>
      <c r="F10" s="2">
        <v>19.84</v>
      </c>
      <c r="G10" s="2">
        <v>13</v>
      </c>
      <c r="H10" s="2">
        <v>22.46</v>
      </c>
      <c r="I10" s="2">
        <v>2</v>
      </c>
      <c r="J10" s="2">
        <v>26.56</v>
      </c>
      <c r="K10" s="3">
        <v>66464600.5</v>
      </c>
      <c r="L10" s="3">
        <v>23126038.199999999</v>
      </c>
      <c r="M10" s="3">
        <v>0</v>
      </c>
    </row>
    <row r="11" spans="1:13" x14ac:dyDescent="0.25">
      <c r="A11" s="1">
        <v>1988</v>
      </c>
      <c r="B11" s="2">
        <v>112</v>
      </c>
      <c r="C11" s="2">
        <v>60</v>
      </c>
      <c r="D11" s="2">
        <v>15.98</v>
      </c>
      <c r="E11" s="2">
        <v>34</v>
      </c>
      <c r="F11" s="2">
        <v>19.72</v>
      </c>
      <c r="G11" s="2">
        <v>15</v>
      </c>
      <c r="H11" s="2">
        <v>22.54</v>
      </c>
      <c r="I11" s="2">
        <v>2</v>
      </c>
      <c r="J11" s="2">
        <v>28.8</v>
      </c>
      <c r="K11" s="3">
        <v>64897310.600000001</v>
      </c>
      <c r="L11" s="3">
        <v>35205092.700000003</v>
      </c>
      <c r="M11" s="3">
        <v>7387055.5</v>
      </c>
    </row>
    <row r="12" spans="1:13" x14ac:dyDescent="0.25">
      <c r="A12" s="1">
        <v>1989</v>
      </c>
      <c r="B12" s="2">
        <v>116</v>
      </c>
      <c r="C12" s="2">
        <v>50</v>
      </c>
      <c r="D12" s="2">
        <v>16.57</v>
      </c>
      <c r="E12" s="2">
        <v>28</v>
      </c>
      <c r="F12" s="2">
        <v>20.43</v>
      </c>
      <c r="G12" s="2">
        <v>14</v>
      </c>
      <c r="H12" s="2">
        <v>22.78</v>
      </c>
      <c r="I12" s="2">
        <v>3</v>
      </c>
      <c r="J12" s="2">
        <v>26.34</v>
      </c>
      <c r="K12" s="3">
        <v>198480023.19999999</v>
      </c>
      <c r="L12" s="3">
        <v>57898959.5</v>
      </c>
      <c r="M12" s="3">
        <v>9490385.8000000007</v>
      </c>
    </row>
    <row r="13" spans="1:13" x14ac:dyDescent="0.25">
      <c r="A13" s="1">
        <v>1990</v>
      </c>
      <c r="B13" s="2">
        <v>106</v>
      </c>
      <c r="C13" s="2">
        <v>57</v>
      </c>
      <c r="D13" s="2">
        <v>16.16</v>
      </c>
      <c r="E13" s="2">
        <v>31</v>
      </c>
      <c r="F13" s="2">
        <v>19.09</v>
      </c>
      <c r="G13" s="2">
        <v>8</v>
      </c>
      <c r="H13" s="2">
        <v>22.39</v>
      </c>
      <c r="I13" s="2">
        <v>0</v>
      </c>
      <c r="J13" s="2">
        <v>0</v>
      </c>
      <c r="K13" s="3">
        <v>51246803.299999997</v>
      </c>
      <c r="L13" s="3">
        <v>28102472</v>
      </c>
      <c r="M13" s="3">
        <v>0</v>
      </c>
    </row>
    <row r="14" spans="1:13" x14ac:dyDescent="0.25">
      <c r="A14" s="1">
        <v>1991</v>
      </c>
      <c r="B14" s="2">
        <v>108</v>
      </c>
      <c r="C14" s="2">
        <v>57</v>
      </c>
      <c r="D14" s="2">
        <v>15.13</v>
      </c>
      <c r="E14" s="2">
        <v>26</v>
      </c>
      <c r="F14" s="2">
        <v>19.8</v>
      </c>
      <c r="G14" s="2">
        <v>9</v>
      </c>
      <c r="H14" s="2">
        <v>23.49</v>
      </c>
      <c r="I14" s="2">
        <v>2</v>
      </c>
      <c r="J14" s="2">
        <v>25.9</v>
      </c>
      <c r="K14" s="3">
        <v>67374070.299999997</v>
      </c>
      <c r="L14" s="3">
        <v>31005577.600000001</v>
      </c>
      <c r="M14" s="3">
        <v>33098534.399999999</v>
      </c>
    </row>
    <row r="15" spans="1:13" x14ac:dyDescent="0.25">
      <c r="A15" s="1">
        <v>1992</v>
      </c>
      <c r="B15" s="2">
        <v>102</v>
      </c>
      <c r="C15" s="2">
        <v>53</v>
      </c>
      <c r="D15" s="2">
        <v>17.239999999999998</v>
      </c>
      <c r="E15" s="2">
        <v>35</v>
      </c>
      <c r="F15" s="2">
        <v>19.97</v>
      </c>
      <c r="G15" s="2">
        <v>13</v>
      </c>
      <c r="H15" s="2">
        <v>22.87</v>
      </c>
      <c r="I15" s="2">
        <v>3</v>
      </c>
      <c r="J15" s="2">
        <v>26.86</v>
      </c>
      <c r="K15" s="3">
        <v>102543370.2</v>
      </c>
      <c r="L15" s="3">
        <v>57098797.899999999</v>
      </c>
      <c r="M15" s="3">
        <v>38662529.600000001</v>
      </c>
    </row>
    <row r="16" spans="1:13" x14ac:dyDescent="0.25">
      <c r="A16" s="1">
        <v>1993</v>
      </c>
      <c r="B16" s="2">
        <v>97</v>
      </c>
      <c r="C16" s="2">
        <v>54</v>
      </c>
      <c r="D16" s="2">
        <v>15.51</v>
      </c>
      <c r="E16" s="2">
        <v>27</v>
      </c>
      <c r="F16" s="2">
        <v>18.940000000000001</v>
      </c>
      <c r="G16" s="2">
        <v>5</v>
      </c>
      <c r="H16" s="2">
        <v>21.84</v>
      </c>
      <c r="I16" s="2">
        <v>1</v>
      </c>
      <c r="J16" s="2">
        <v>27.08</v>
      </c>
      <c r="K16" s="3">
        <v>68457772.299999997</v>
      </c>
      <c r="L16" s="3">
        <v>27143426</v>
      </c>
      <c r="M16" s="3">
        <v>0</v>
      </c>
    </row>
    <row r="17" spans="1:13" x14ac:dyDescent="0.25">
      <c r="A17" s="1">
        <v>1994</v>
      </c>
      <c r="B17" s="2">
        <v>132</v>
      </c>
      <c r="C17" s="2">
        <v>67</v>
      </c>
      <c r="D17" s="2">
        <v>16.34</v>
      </c>
      <c r="E17" s="2">
        <v>39</v>
      </c>
      <c r="F17" s="2">
        <v>19.23</v>
      </c>
      <c r="G17" s="2">
        <v>12</v>
      </c>
      <c r="H17" s="2">
        <v>22.23</v>
      </c>
      <c r="I17" s="2">
        <v>2</v>
      </c>
      <c r="J17" s="2">
        <v>25.6</v>
      </c>
      <c r="K17" s="3">
        <v>68818003.200000003</v>
      </c>
      <c r="L17" s="3">
        <v>19129462.800000001</v>
      </c>
      <c r="M17" s="3">
        <v>0</v>
      </c>
    </row>
    <row r="18" spans="1:13" x14ac:dyDescent="0.25">
      <c r="A18" s="1">
        <v>1995</v>
      </c>
      <c r="B18" s="2">
        <v>101</v>
      </c>
      <c r="C18" s="2">
        <v>65</v>
      </c>
      <c r="D18" s="2">
        <v>15.28</v>
      </c>
      <c r="E18" s="2">
        <v>30</v>
      </c>
      <c r="F18" s="2">
        <v>19.329999999999998</v>
      </c>
      <c r="G18" s="2">
        <v>12</v>
      </c>
      <c r="H18" s="2">
        <v>21.74</v>
      </c>
      <c r="I18" s="2">
        <v>0</v>
      </c>
      <c r="J18" s="2">
        <v>0</v>
      </c>
      <c r="K18" s="3">
        <v>43813208.5</v>
      </c>
      <c r="L18" s="3">
        <v>25550596.5</v>
      </c>
      <c r="M18" s="3">
        <v>0</v>
      </c>
    </row>
    <row r="19" spans="1:13" x14ac:dyDescent="0.25">
      <c r="A19" s="1">
        <v>1996</v>
      </c>
      <c r="B19" s="2">
        <v>112</v>
      </c>
      <c r="C19" s="2">
        <v>62</v>
      </c>
      <c r="D19" s="2">
        <v>15.85</v>
      </c>
      <c r="E19" s="2">
        <v>36</v>
      </c>
      <c r="F19" s="2">
        <v>19.010000000000002</v>
      </c>
      <c r="G19" s="2">
        <v>12</v>
      </c>
      <c r="H19" s="2">
        <v>22.27</v>
      </c>
      <c r="I19" s="2">
        <v>2</v>
      </c>
      <c r="J19" s="2">
        <v>27.83</v>
      </c>
      <c r="K19" s="3">
        <v>48660837.299999997</v>
      </c>
      <c r="L19" s="3">
        <v>20655810.800000001</v>
      </c>
      <c r="M19" s="3">
        <v>15873403.1</v>
      </c>
    </row>
    <row r="20" spans="1:13" x14ac:dyDescent="0.25">
      <c r="A20" s="1">
        <v>1997</v>
      </c>
      <c r="B20" s="2">
        <v>118</v>
      </c>
      <c r="C20" s="2">
        <v>62</v>
      </c>
      <c r="D20" s="2">
        <v>15.06</v>
      </c>
      <c r="E20" s="2">
        <v>30</v>
      </c>
      <c r="F20" s="2">
        <v>18.53</v>
      </c>
      <c r="G20" s="2">
        <v>6</v>
      </c>
      <c r="H20" s="2">
        <v>21.88</v>
      </c>
      <c r="I20" s="2">
        <v>0</v>
      </c>
      <c r="J20" s="2">
        <v>0</v>
      </c>
      <c r="K20" s="3">
        <v>50706743.799999997</v>
      </c>
      <c r="L20" s="3">
        <v>60711040.799999997</v>
      </c>
      <c r="M20" s="3">
        <v>0</v>
      </c>
    </row>
    <row r="21" spans="1:13" x14ac:dyDescent="0.25">
      <c r="A21" s="1">
        <v>1998</v>
      </c>
      <c r="B21" s="2">
        <v>108</v>
      </c>
      <c r="C21" s="2">
        <v>66</v>
      </c>
      <c r="D21" s="2">
        <v>14.96</v>
      </c>
      <c r="E21" s="2">
        <v>33</v>
      </c>
      <c r="F21" s="2">
        <v>19.12</v>
      </c>
      <c r="G21" s="2">
        <v>10</v>
      </c>
      <c r="H21" s="2">
        <v>23.11</v>
      </c>
      <c r="I21" s="2">
        <v>2</v>
      </c>
      <c r="J21" s="2">
        <v>27.34</v>
      </c>
      <c r="K21" s="3">
        <v>71211514.5</v>
      </c>
      <c r="L21" s="3">
        <v>42322519.5</v>
      </c>
      <c r="M21" s="3">
        <v>54510409.399999999</v>
      </c>
    </row>
    <row r="22" spans="1:13" x14ac:dyDescent="0.25">
      <c r="A22" s="1">
        <v>1999</v>
      </c>
      <c r="B22" s="2">
        <v>110</v>
      </c>
      <c r="C22" s="2">
        <v>58</v>
      </c>
      <c r="D22" s="2">
        <v>16.13</v>
      </c>
      <c r="E22" s="2">
        <v>36</v>
      </c>
      <c r="F22" s="2">
        <v>19.46</v>
      </c>
      <c r="G22" s="2">
        <v>12</v>
      </c>
      <c r="H22" s="2">
        <v>23.73</v>
      </c>
      <c r="I22" s="2">
        <v>3</v>
      </c>
      <c r="J22" s="2">
        <v>27.04</v>
      </c>
      <c r="K22" s="3">
        <v>112106554.90000001</v>
      </c>
      <c r="L22" s="3">
        <v>47965680</v>
      </c>
      <c r="M22" s="3">
        <v>38546747.200000003</v>
      </c>
    </row>
    <row r="23" spans="1:13" x14ac:dyDescent="0.25">
      <c r="A23" s="1">
        <v>2000</v>
      </c>
      <c r="B23" s="2">
        <v>113</v>
      </c>
      <c r="C23" s="2">
        <v>60</v>
      </c>
      <c r="D23" s="2">
        <v>15.6</v>
      </c>
      <c r="E23" s="2">
        <v>32</v>
      </c>
      <c r="F23" s="2">
        <v>18.940000000000001</v>
      </c>
      <c r="G23" s="2">
        <v>9</v>
      </c>
      <c r="H23" s="2">
        <v>21.83</v>
      </c>
      <c r="I23" s="2">
        <v>0</v>
      </c>
      <c r="J23" s="2">
        <v>0</v>
      </c>
      <c r="K23" s="3">
        <v>49066588.299999997</v>
      </c>
      <c r="L23" s="3">
        <v>33509762.399999999</v>
      </c>
      <c r="M23" s="3">
        <v>0</v>
      </c>
    </row>
    <row r="24" spans="1:13" x14ac:dyDescent="0.25">
      <c r="A24" s="1">
        <v>2001</v>
      </c>
      <c r="B24" s="2">
        <v>105</v>
      </c>
      <c r="C24" s="2">
        <v>53</v>
      </c>
      <c r="D24" s="2">
        <v>15.81</v>
      </c>
      <c r="E24" s="2">
        <v>30</v>
      </c>
      <c r="F24" s="2">
        <v>19.23</v>
      </c>
      <c r="G24" s="2">
        <v>8</v>
      </c>
      <c r="H24" s="2">
        <v>21.97</v>
      </c>
      <c r="I24" s="2">
        <v>1</v>
      </c>
      <c r="J24" s="2">
        <v>25.92</v>
      </c>
      <c r="K24" s="3">
        <v>61617420.799999997</v>
      </c>
      <c r="L24" s="3">
        <v>14100651.4</v>
      </c>
      <c r="M24" s="3">
        <v>0</v>
      </c>
    </row>
    <row r="25" spans="1:13" x14ac:dyDescent="0.25">
      <c r="A25" s="1">
        <v>2002</v>
      </c>
      <c r="B25" s="2">
        <v>106</v>
      </c>
      <c r="C25" s="2">
        <v>54</v>
      </c>
      <c r="D25" s="2">
        <v>14.82</v>
      </c>
      <c r="E25" s="2">
        <v>22</v>
      </c>
      <c r="F25" s="2">
        <v>18.7</v>
      </c>
      <c r="G25" s="2">
        <v>5</v>
      </c>
      <c r="H25" s="2">
        <v>22.09</v>
      </c>
      <c r="I25" s="2">
        <v>0</v>
      </c>
      <c r="J25" s="2">
        <v>0</v>
      </c>
      <c r="K25" s="3">
        <v>70379364.799999997</v>
      </c>
      <c r="L25" s="3">
        <v>32655297.5</v>
      </c>
      <c r="M25" s="3">
        <v>0</v>
      </c>
    </row>
    <row r="26" spans="1:13" x14ac:dyDescent="0.25">
      <c r="A26" s="1">
        <v>2003</v>
      </c>
      <c r="B26" s="2">
        <v>112</v>
      </c>
      <c r="C26" s="2">
        <v>55</v>
      </c>
      <c r="D26" s="2">
        <v>16.03</v>
      </c>
      <c r="E26" s="2">
        <v>27</v>
      </c>
      <c r="F26" s="2">
        <v>19.850000000000001</v>
      </c>
      <c r="G26" s="2">
        <v>12</v>
      </c>
      <c r="H26" s="2">
        <v>22.36</v>
      </c>
      <c r="I26" s="2">
        <v>0</v>
      </c>
      <c r="J26" s="2">
        <v>0</v>
      </c>
      <c r="K26" s="3">
        <v>48848076.899999999</v>
      </c>
      <c r="L26" s="3">
        <v>15070258.699999999</v>
      </c>
      <c r="M26" s="3">
        <v>0</v>
      </c>
    </row>
    <row r="27" spans="1:13" x14ac:dyDescent="0.25">
      <c r="A27" s="1">
        <v>2004</v>
      </c>
      <c r="B27" s="2">
        <v>95</v>
      </c>
      <c r="C27" s="2">
        <v>46</v>
      </c>
      <c r="D27" s="2">
        <v>16.059999999999999</v>
      </c>
      <c r="E27" s="2">
        <v>26</v>
      </c>
      <c r="F27" s="2">
        <v>19.2</v>
      </c>
      <c r="G27" s="2">
        <v>9</v>
      </c>
      <c r="H27" s="2">
        <v>23.11</v>
      </c>
      <c r="I27" s="2">
        <v>2</v>
      </c>
      <c r="J27" s="2">
        <v>29.49</v>
      </c>
      <c r="K27" s="3">
        <v>100074751</v>
      </c>
      <c r="L27" s="3">
        <v>93586319.5</v>
      </c>
      <c r="M27" s="3">
        <v>30265265.800000001</v>
      </c>
    </row>
    <row r="28" spans="1:13" x14ac:dyDescent="0.25">
      <c r="A28" s="1">
        <v>2005</v>
      </c>
      <c r="B28" s="2">
        <v>94</v>
      </c>
      <c r="C28" s="2">
        <v>51</v>
      </c>
      <c r="D28" s="2">
        <v>15.92</v>
      </c>
      <c r="E28" s="2">
        <v>27</v>
      </c>
      <c r="F28" s="2">
        <v>19.02</v>
      </c>
      <c r="G28" s="2">
        <v>6</v>
      </c>
      <c r="H28" s="2">
        <v>22.99</v>
      </c>
      <c r="I28" s="2">
        <v>2</v>
      </c>
      <c r="J28" s="2">
        <v>25.4</v>
      </c>
      <c r="K28" s="3">
        <v>43416870</v>
      </c>
      <c r="L28" s="3">
        <v>29237685.100000001</v>
      </c>
      <c r="M28" s="3">
        <v>0</v>
      </c>
    </row>
    <row r="29" spans="1:13" x14ac:dyDescent="0.25">
      <c r="A29" s="1">
        <v>2006</v>
      </c>
      <c r="B29" s="2">
        <v>131</v>
      </c>
      <c r="C29" s="2">
        <v>73</v>
      </c>
      <c r="D29" s="2">
        <v>16.14</v>
      </c>
      <c r="E29" s="2">
        <v>42</v>
      </c>
      <c r="F29" s="2">
        <v>19.59</v>
      </c>
      <c r="G29" s="2">
        <v>18</v>
      </c>
      <c r="H29" s="2">
        <v>22.03</v>
      </c>
      <c r="I29" s="2">
        <v>1</v>
      </c>
      <c r="J29" s="2">
        <v>25.12</v>
      </c>
      <c r="K29" s="3">
        <v>106528997.5</v>
      </c>
      <c r="L29" s="3">
        <v>29899493.300000001</v>
      </c>
      <c r="M29" s="3">
        <v>8761903</v>
      </c>
    </row>
    <row r="30" spans="1:13" x14ac:dyDescent="0.25">
      <c r="A30" s="1">
        <v>2007</v>
      </c>
      <c r="B30" s="2">
        <v>97</v>
      </c>
      <c r="C30" s="2">
        <v>46</v>
      </c>
      <c r="D30" s="2">
        <v>14.81</v>
      </c>
      <c r="E30" s="2">
        <v>23</v>
      </c>
      <c r="F30" s="2">
        <v>18.54</v>
      </c>
      <c r="G30" s="2">
        <v>6</v>
      </c>
      <c r="H30" s="2">
        <v>21.21</v>
      </c>
      <c r="I30" s="2">
        <v>0</v>
      </c>
      <c r="J30" s="2">
        <v>0</v>
      </c>
      <c r="K30" s="3">
        <v>65087671.600000001</v>
      </c>
      <c r="L30" s="3">
        <v>23277901.5</v>
      </c>
      <c r="M30" s="3">
        <v>0</v>
      </c>
    </row>
    <row r="31" spans="1:13" x14ac:dyDescent="0.25">
      <c r="A31" s="1">
        <v>2008</v>
      </c>
      <c r="B31" s="2">
        <v>107</v>
      </c>
      <c r="C31" s="2">
        <v>53</v>
      </c>
      <c r="D31" s="2">
        <v>16.239999999999998</v>
      </c>
      <c r="E31" s="2">
        <v>32</v>
      </c>
      <c r="F31" s="2">
        <v>18.86</v>
      </c>
      <c r="G31" s="2">
        <v>10</v>
      </c>
      <c r="H31" s="2">
        <v>21.63</v>
      </c>
      <c r="I31" s="2">
        <v>1</v>
      </c>
      <c r="J31" s="2">
        <v>25.85</v>
      </c>
      <c r="K31" s="3">
        <v>55062445.799999997</v>
      </c>
      <c r="L31" s="3">
        <v>19282009.600000001</v>
      </c>
      <c r="M31" s="3">
        <v>0</v>
      </c>
    </row>
    <row r="32" spans="1:13" x14ac:dyDescent="0.25">
      <c r="A32" s="1">
        <v>2009</v>
      </c>
      <c r="B32" s="2">
        <v>110</v>
      </c>
      <c r="C32" s="2">
        <v>46</v>
      </c>
      <c r="D32" s="2">
        <v>15.44</v>
      </c>
      <c r="E32" s="2">
        <v>27</v>
      </c>
      <c r="F32" s="2">
        <v>18.5</v>
      </c>
      <c r="G32" s="2">
        <v>6</v>
      </c>
      <c r="H32" s="2">
        <v>21.88</v>
      </c>
      <c r="I32" s="2">
        <v>0</v>
      </c>
      <c r="J32" s="2">
        <v>0</v>
      </c>
      <c r="K32" s="3">
        <v>28268194.699999999</v>
      </c>
      <c r="L32" s="3">
        <v>15593145.300000001</v>
      </c>
      <c r="M32" s="3">
        <v>0</v>
      </c>
    </row>
    <row r="33" spans="1:13" x14ac:dyDescent="0.25">
      <c r="A33" s="1">
        <v>2010</v>
      </c>
      <c r="B33" s="2">
        <v>97</v>
      </c>
      <c r="C33" s="2">
        <v>48</v>
      </c>
      <c r="D33" s="2">
        <v>15.63</v>
      </c>
      <c r="E33" s="2">
        <v>23</v>
      </c>
      <c r="F33" s="2">
        <v>19.2</v>
      </c>
      <c r="G33" s="2">
        <v>6</v>
      </c>
      <c r="H33" s="2">
        <v>22.75</v>
      </c>
      <c r="I33" s="2">
        <v>0</v>
      </c>
      <c r="J33" s="2">
        <v>0</v>
      </c>
      <c r="K33" s="3">
        <v>43187581.399999999</v>
      </c>
      <c r="L33" s="3">
        <v>23458922.699999999</v>
      </c>
      <c r="M33" s="3">
        <v>0</v>
      </c>
    </row>
    <row r="34" spans="1:13" x14ac:dyDescent="0.25">
      <c r="A34" s="1">
        <v>2011</v>
      </c>
      <c r="B34" s="2">
        <v>99</v>
      </c>
      <c r="C34" s="2">
        <v>50</v>
      </c>
      <c r="D34" s="2">
        <v>16.78</v>
      </c>
      <c r="E34" s="2">
        <v>28</v>
      </c>
      <c r="F34" s="2">
        <v>20.16</v>
      </c>
      <c r="G34" s="2">
        <v>13</v>
      </c>
      <c r="H34" s="2">
        <v>22.77</v>
      </c>
      <c r="I34" s="2">
        <v>2</v>
      </c>
      <c r="J34" s="2">
        <v>26.45</v>
      </c>
      <c r="K34" s="3">
        <v>93493824.5</v>
      </c>
      <c r="L34" s="3">
        <v>39129318.100000001</v>
      </c>
      <c r="M34" s="3">
        <v>0</v>
      </c>
    </row>
    <row r="35" spans="1:13" x14ac:dyDescent="0.25">
      <c r="A35" s="1">
        <v>2012</v>
      </c>
      <c r="B35" s="2">
        <v>123</v>
      </c>
      <c r="C35" s="2">
        <v>60</v>
      </c>
      <c r="D35" s="2">
        <v>14.53</v>
      </c>
      <c r="E35" s="2">
        <v>27</v>
      </c>
      <c r="F35" s="2">
        <v>18.38</v>
      </c>
      <c r="G35" s="2">
        <v>6</v>
      </c>
      <c r="H35" s="2">
        <v>21.24</v>
      </c>
      <c r="I35" s="2">
        <v>0</v>
      </c>
      <c r="J35" s="2">
        <v>0</v>
      </c>
      <c r="K35" s="3">
        <v>27608054.600000001</v>
      </c>
      <c r="L35" s="3">
        <v>6147742.9000000004</v>
      </c>
      <c r="M35" s="3">
        <v>0</v>
      </c>
    </row>
    <row r="36" spans="1:13" x14ac:dyDescent="0.25">
      <c r="A36" s="1">
        <v>2013</v>
      </c>
      <c r="B36" s="2">
        <v>116</v>
      </c>
      <c r="C36" s="2">
        <v>61</v>
      </c>
      <c r="D36" s="2">
        <v>17.190000000000001</v>
      </c>
      <c r="E36" s="2">
        <v>41</v>
      </c>
      <c r="F36" s="2">
        <v>19.52</v>
      </c>
      <c r="G36" s="2">
        <v>17</v>
      </c>
      <c r="H36" s="2">
        <v>22.35</v>
      </c>
      <c r="I36" s="2">
        <v>4</v>
      </c>
      <c r="J36" s="2">
        <v>26.24</v>
      </c>
      <c r="K36" s="3">
        <v>77043807.599999994</v>
      </c>
      <c r="L36" s="3">
        <v>18860625.300000001</v>
      </c>
      <c r="M36" s="3">
        <v>0</v>
      </c>
    </row>
    <row r="37" spans="1:13" x14ac:dyDescent="0.25">
      <c r="A37" s="1">
        <v>2014</v>
      </c>
      <c r="B37" s="2">
        <v>105</v>
      </c>
      <c r="C37" s="2">
        <v>47</v>
      </c>
      <c r="D37" s="2">
        <v>16.18</v>
      </c>
      <c r="E37" s="2">
        <v>29</v>
      </c>
      <c r="F37" s="2">
        <v>19.489999999999998</v>
      </c>
      <c r="G37" s="2">
        <v>11</v>
      </c>
      <c r="H37" s="2">
        <v>22.81</v>
      </c>
      <c r="I37" s="2">
        <v>3</v>
      </c>
      <c r="J37" s="2">
        <v>26.25</v>
      </c>
      <c r="K37" s="3">
        <v>57190208</v>
      </c>
      <c r="L37" s="3">
        <v>35565328.899999999</v>
      </c>
      <c r="M37" s="3">
        <v>5924516.2000000002</v>
      </c>
    </row>
    <row r="38" spans="1:13" x14ac:dyDescent="0.25">
      <c r="A38" s="1">
        <v>2015</v>
      </c>
      <c r="B38" s="2">
        <v>128</v>
      </c>
      <c r="C38" s="2">
        <v>53</v>
      </c>
      <c r="D38" s="2">
        <v>15.86</v>
      </c>
      <c r="E38" s="2">
        <v>26</v>
      </c>
      <c r="F38" s="2">
        <v>19.55</v>
      </c>
      <c r="G38" s="2">
        <v>12</v>
      </c>
      <c r="H38" s="2">
        <v>21.8</v>
      </c>
      <c r="I38" s="2">
        <v>0</v>
      </c>
      <c r="J38" s="2">
        <v>0</v>
      </c>
      <c r="K38" s="3">
        <v>84876757.599999994</v>
      </c>
      <c r="L38" s="3">
        <v>26221724.199999999</v>
      </c>
      <c r="M38" s="3">
        <v>0</v>
      </c>
    </row>
    <row r="39" spans="1:13" x14ac:dyDescent="0.25">
      <c r="A39" s="1">
        <v>2016</v>
      </c>
      <c r="B39" s="2">
        <v>96</v>
      </c>
      <c r="C39" s="2">
        <v>47</v>
      </c>
      <c r="D39" s="2">
        <v>15.86</v>
      </c>
      <c r="E39" s="2">
        <v>25</v>
      </c>
      <c r="F39" s="2">
        <v>18.98</v>
      </c>
      <c r="G39" s="2">
        <v>8</v>
      </c>
      <c r="H39" s="2">
        <v>22.23</v>
      </c>
      <c r="I39" s="2">
        <v>1</v>
      </c>
      <c r="J39" s="2">
        <v>28.16</v>
      </c>
      <c r="K39" s="3">
        <v>52420424</v>
      </c>
      <c r="L39" s="3">
        <v>24613928.199999999</v>
      </c>
      <c r="M39" s="3">
        <v>0</v>
      </c>
    </row>
    <row r="40" spans="1:13" x14ac:dyDescent="0.25">
      <c r="A40" s="1">
        <v>2017</v>
      </c>
      <c r="B40" s="2">
        <v>124</v>
      </c>
      <c r="C40" s="2">
        <v>49</v>
      </c>
      <c r="D40" s="2">
        <v>16.3</v>
      </c>
      <c r="E40" s="2">
        <v>28</v>
      </c>
      <c r="F40" s="2">
        <v>19.45</v>
      </c>
      <c r="G40" s="2">
        <v>7</v>
      </c>
      <c r="H40" s="2">
        <v>22.53</v>
      </c>
      <c r="I40" s="2">
        <v>1</v>
      </c>
      <c r="J40" s="2">
        <v>27.14</v>
      </c>
      <c r="K40" s="3">
        <v>46640294.799999997</v>
      </c>
      <c r="L40" s="3">
        <v>10756219.5</v>
      </c>
      <c r="M40" s="3">
        <v>0</v>
      </c>
    </row>
    <row r="41" spans="1:13" x14ac:dyDescent="0.25">
      <c r="A41" s="1">
        <v>2018</v>
      </c>
      <c r="B41" s="2">
        <v>123</v>
      </c>
      <c r="C41" s="2">
        <v>51</v>
      </c>
      <c r="D41" s="2">
        <v>15.8</v>
      </c>
      <c r="E41" s="2">
        <v>27</v>
      </c>
      <c r="F41" s="2">
        <v>19.46</v>
      </c>
      <c r="G41" s="2">
        <v>9</v>
      </c>
      <c r="H41" s="2">
        <v>22.49</v>
      </c>
      <c r="I41" s="2">
        <v>0</v>
      </c>
      <c r="J41" s="2">
        <v>0</v>
      </c>
      <c r="K41" s="3">
        <v>39578916.380000003</v>
      </c>
      <c r="L41" s="3">
        <v>17654538.920000002</v>
      </c>
      <c r="M41" s="3">
        <v>0</v>
      </c>
    </row>
    <row r="42" spans="1:13" x14ac:dyDescent="0.25">
      <c r="A42" s="1">
        <v>2019</v>
      </c>
      <c r="B42" s="2">
        <v>152</v>
      </c>
      <c r="C42" s="2">
        <v>78</v>
      </c>
      <c r="D42" s="2">
        <v>15.63</v>
      </c>
      <c r="E42" s="2">
        <v>39</v>
      </c>
      <c r="F42" s="2">
        <v>19.43</v>
      </c>
      <c r="G42" s="2">
        <v>17</v>
      </c>
      <c r="H42" s="2">
        <v>21.7</v>
      </c>
      <c r="I42" s="2">
        <v>0</v>
      </c>
      <c r="J42" s="2">
        <v>0</v>
      </c>
      <c r="K42" s="3">
        <v>70380490.730000004</v>
      </c>
      <c r="L42" s="3">
        <v>19427102.07</v>
      </c>
      <c r="M42" s="3">
        <v>0</v>
      </c>
    </row>
    <row r="43" spans="1:13" x14ac:dyDescent="0.25">
      <c r="A43" s="1">
        <v>2020</v>
      </c>
      <c r="B43" s="2">
        <v>112</v>
      </c>
      <c r="C43" s="2">
        <v>59</v>
      </c>
      <c r="D43" s="2">
        <v>15.24</v>
      </c>
      <c r="E43" s="2">
        <v>27</v>
      </c>
      <c r="F43" s="2">
        <v>19.09</v>
      </c>
      <c r="G43" s="2">
        <v>8</v>
      </c>
      <c r="H43" s="2">
        <v>22.24</v>
      </c>
      <c r="I43" s="2">
        <v>1</v>
      </c>
      <c r="J43" s="2">
        <v>25.36</v>
      </c>
      <c r="K43" s="3">
        <v>46758880.109999999</v>
      </c>
      <c r="L43" s="3">
        <v>22853133.129999999</v>
      </c>
      <c r="M43" s="3">
        <v>0</v>
      </c>
    </row>
    <row r="44" spans="1:13" x14ac:dyDescent="0.25">
      <c r="A44" s="4" t="s">
        <v>0</v>
      </c>
      <c r="B44" s="5">
        <f xml:space="preserve"> AVERAGEIF(B2:B43,"&gt;0")</f>
        <v>110.97619047619048</v>
      </c>
      <c r="C44" s="5">
        <f t="shared" ref="C44:M44" si="0" xml:space="preserve"> AVERAGEIF(C2:C43,"&gt;0")</f>
        <v>56.642857142857146</v>
      </c>
      <c r="D44" s="5">
        <f t="shared" si="0"/>
        <v>15.883809523809521</v>
      </c>
      <c r="E44" s="5">
        <f t="shared" si="0"/>
        <v>30.761904761904763</v>
      </c>
      <c r="F44" s="5">
        <f t="shared" si="0"/>
        <v>19.260238095238098</v>
      </c>
      <c r="G44" s="5">
        <f t="shared" si="0"/>
        <v>10.428571428571429</v>
      </c>
      <c r="H44" s="5">
        <f t="shared" si="0"/>
        <v>22.307380952380953</v>
      </c>
      <c r="I44" s="5">
        <f t="shared" si="0"/>
        <v>1.8076923076923077</v>
      </c>
      <c r="J44" s="5">
        <f t="shared" si="0"/>
        <v>26.690769230769231</v>
      </c>
      <c r="K44" s="6">
        <f t="shared" si="0"/>
        <v>65485726.152857147</v>
      </c>
      <c r="L44" s="6">
        <f t="shared" si="0"/>
        <v>29689302.912380956</v>
      </c>
      <c r="M44" s="6">
        <f t="shared" si="0"/>
        <v>21374779.323076922</v>
      </c>
    </row>
    <row r="45" spans="1:13" x14ac:dyDescent="0.25">
      <c r="A45" s="4" t="s">
        <v>1</v>
      </c>
      <c r="B45" s="5">
        <f>SUM(B2:B43)</f>
        <v>4661</v>
      </c>
      <c r="C45" s="5">
        <f>SUM(C2:C43)</f>
        <v>2379</v>
      </c>
      <c r="D45" s="5"/>
      <c r="E45" s="5">
        <f>SUM(E2:E43)</f>
        <v>1292</v>
      </c>
      <c r="F45" s="5"/>
      <c r="G45" s="5">
        <f>SUM(G2:G43)</f>
        <v>438</v>
      </c>
      <c r="H45" s="5"/>
      <c r="I45" s="5">
        <f>SUM(I2:I43)</f>
        <v>47</v>
      </c>
      <c r="J45" s="5"/>
      <c r="K45" s="5"/>
      <c r="L45" s="5"/>
      <c r="M45" s="5"/>
    </row>
    <row r="49" spans="2:7" x14ac:dyDescent="0.25">
      <c r="B49" s="7" t="s">
        <v>3</v>
      </c>
      <c r="C49" s="7"/>
      <c r="D49" s="7"/>
      <c r="E49" s="7"/>
      <c r="F49" s="7"/>
      <c r="G49"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tabSelected="1" workbookViewId="0"/>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39</v>
      </c>
      <c r="C2" s="2">
        <v>6</v>
      </c>
      <c r="D2" s="2">
        <v>16.88</v>
      </c>
      <c r="E2" s="2">
        <v>3</v>
      </c>
      <c r="F2" s="2">
        <v>18.670000000000002</v>
      </c>
      <c r="G2" s="2">
        <v>0</v>
      </c>
      <c r="H2" s="2">
        <v>0</v>
      </c>
      <c r="I2" s="2">
        <v>0</v>
      </c>
      <c r="J2" s="2">
        <v>0</v>
      </c>
      <c r="K2" s="3">
        <v>12496562.1</v>
      </c>
      <c r="L2" s="3">
        <v>0</v>
      </c>
      <c r="M2" s="3">
        <v>0</v>
      </c>
    </row>
    <row r="3" spans="1:13" x14ac:dyDescent="0.25">
      <c r="A3" s="1">
        <v>1980</v>
      </c>
      <c r="B3" s="2">
        <v>27</v>
      </c>
      <c r="C3" s="2">
        <v>8</v>
      </c>
      <c r="D3" s="2">
        <v>17.670000000000002</v>
      </c>
      <c r="E3" s="2">
        <v>5</v>
      </c>
      <c r="F3" s="2">
        <v>20.21</v>
      </c>
      <c r="G3" s="2">
        <v>2</v>
      </c>
      <c r="H3" s="2">
        <v>24.25</v>
      </c>
      <c r="I3" s="2">
        <v>1</v>
      </c>
      <c r="J3" s="2">
        <v>25.26</v>
      </c>
      <c r="K3" s="3">
        <v>38995858.899999999</v>
      </c>
      <c r="L3" s="3">
        <v>51072190.399999999</v>
      </c>
      <c r="M3" s="3">
        <v>0</v>
      </c>
    </row>
    <row r="4" spans="1:13" x14ac:dyDescent="0.25">
      <c r="A4" s="1">
        <v>1981</v>
      </c>
      <c r="B4" s="2">
        <v>27</v>
      </c>
      <c r="C4" s="2">
        <v>7</v>
      </c>
      <c r="D4" s="2">
        <v>19.66</v>
      </c>
      <c r="E4" s="2">
        <v>6</v>
      </c>
      <c r="F4" s="2">
        <v>20.49</v>
      </c>
      <c r="G4" s="2">
        <v>3</v>
      </c>
      <c r="H4" s="2">
        <v>22.57</v>
      </c>
      <c r="I4" s="2">
        <v>0</v>
      </c>
      <c r="J4" s="2">
        <v>0</v>
      </c>
      <c r="K4" s="3">
        <v>23857422.300000001</v>
      </c>
      <c r="L4" s="3">
        <v>7581394.7999999998</v>
      </c>
      <c r="M4" s="3">
        <v>0</v>
      </c>
    </row>
    <row r="5" spans="1:13" x14ac:dyDescent="0.25">
      <c r="A5" s="1">
        <v>1982</v>
      </c>
      <c r="B5" s="2">
        <v>32</v>
      </c>
      <c r="C5" s="2">
        <v>7</v>
      </c>
      <c r="D5" s="2">
        <v>17.32</v>
      </c>
      <c r="E5" s="2">
        <v>3</v>
      </c>
      <c r="F5" s="2">
        <v>20.68</v>
      </c>
      <c r="G5" s="2">
        <v>2</v>
      </c>
      <c r="H5" s="2">
        <v>22.01</v>
      </c>
      <c r="I5" s="2">
        <v>0</v>
      </c>
      <c r="J5" s="2">
        <v>0</v>
      </c>
      <c r="K5" s="3">
        <v>44778288.700000003</v>
      </c>
      <c r="L5" s="3">
        <v>30855264.199999999</v>
      </c>
      <c r="M5" s="3">
        <v>0</v>
      </c>
    </row>
    <row r="6" spans="1:13" x14ac:dyDescent="0.25">
      <c r="A6" s="1">
        <v>1983</v>
      </c>
      <c r="B6" s="2">
        <v>29</v>
      </c>
      <c r="C6" s="2">
        <v>7</v>
      </c>
      <c r="D6" s="2">
        <v>19.72</v>
      </c>
      <c r="E6" s="2">
        <v>6</v>
      </c>
      <c r="F6" s="2">
        <v>21.13</v>
      </c>
      <c r="G6" s="2">
        <v>4</v>
      </c>
      <c r="H6" s="2">
        <v>23.2</v>
      </c>
      <c r="I6" s="2">
        <v>1</v>
      </c>
      <c r="J6" s="2">
        <v>27.77</v>
      </c>
      <c r="K6" s="3">
        <v>102693099.40000001</v>
      </c>
      <c r="L6" s="3">
        <v>29218906.399999999</v>
      </c>
      <c r="M6" s="3">
        <v>0</v>
      </c>
    </row>
    <row r="7" spans="1:13" x14ac:dyDescent="0.25">
      <c r="A7" s="1">
        <v>1984</v>
      </c>
      <c r="B7" s="2">
        <v>31</v>
      </c>
      <c r="C7" s="2">
        <v>6</v>
      </c>
      <c r="D7" s="2">
        <v>17.25</v>
      </c>
      <c r="E7" s="2">
        <v>5</v>
      </c>
      <c r="F7" s="2">
        <v>17.82</v>
      </c>
      <c r="G7" s="2">
        <v>1</v>
      </c>
      <c r="H7" s="2">
        <v>20</v>
      </c>
      <c r="I7" s="2">
        <v>0</v>
      </c>
      <c r="J7" s="2">
        <v>0</v>
      </c>
      <c r="K7" s="3">
        <v>39062872.899999999</v>
      </c>
      <c r="L7" s="3">
        <v>0</v>
      </c>
      <c r="M7" s="3">
        <v>0</v>
      </c>
    </row>
    <row r="8" spans="1:13" x14ac:dyDescent="0.25">
      <c r="A8" s="1">
        <v>1985</v>
      </c>
      <c r="B8" s="2">
        <v>29</v>
      </c>
      <c r="C8" s="2">
        <v>7</v>
      </c>
      <c r="D8" s="2">
        <v>18.55</v>
      </c>
      <c r="E8" s="2">
        <v>5</v>
      </c>
      <c r="F8" s="2">
        <v>20.170000000000002</v>
      </c>
      <c r="G8" s="2">
        <v>2</v>
      </c>
      <c r="H8" s="2">
        <v>25.56</v>
      </c>
      <c r="I8" s="2">
        <v>1</v>
      </c>
      <c r="J8" s="2">
        <v>27.33</v>
      </c>
      <c r="K8" s="3">
        <v>74744269.400000006</v>
      </c>
      <c r="L8" s="3">
        <v>47746233.700000003</v>
      </c>
      <c r="M8" s="3">
        <v>9798525.9000000004</v>
      </c>
    </row>
    <row r="9" spans="1:13" x14ac:dyDescent="0.25">
      <c r="A9" s="1">
        <v>1986</v>
      </c>
      <c r="B9" s="2">
        <v>31</v>
      </c>
      <c r="C9" s="2">
        <v>6</v>
      </c>
      <c r="D9" s="2">
        <v>18.809999999999999</v>
      </c>
      <c r="E9" s="2">
        <v>6</v>
      </c>
      <c r="F9" s="2">
        <v>18.809999999999999</v>
      </c>
      <c r="G9" s="2">
        <v>1</v>
      </c>
      <c r="H9" s="2">
        <v>24.47</v>
      </c>
      <c r="I9" s="2">
        <v>0</v>
      </c>
      <c r="J9" s="2">
        <v>0</v>
      </c>
      <c r="K9" s="3">
        <v>42348824.700000003</v>
      </c>
      <c r="L9" s="3">
        <v>4959359.0999999996</v>
      </c>
      <c r="M9" s="3">
        <v>0</v>
      </c>
    </row>
    <row r="10" spans="1:13" x14ac:dyDescent="0.25">
      <c r="A10" s="1">
        <v>1987</v>
      </c>
      <c r="B10" s="2">
        <v>42</v>
      </c>
      <c r="C10" s="2">
        <v>7</v>
      </c>
      <c r="D10" s="2">
        <v>21.85</v>
      </c>
      <c r="E10" s="2">
        <v>7</v>
      </c>
      <c r="F10" s="2">
        <v>21.85</v>
      </c>
      <c r="G10" s="2">
        <v>3</v>
      </c>
      <c r="H10" s="2">
        <v>25.37</v>
      </c>
      <c r="I10" s="2">
        <v>2</v>
      </c>
      <c r="J10" s="2">
        <v>26.56</v>
      </c>
      <c r="K10" s="3">
        <v>98192525.5</v>
      </c>
      <c r="L10" s="3">
        <v>29685146.699999999</v>
      </c>
      <c r="M10" s="3">
        <v>0</v>
      </c>
    </row>
    <row r="11" spans="1:13" x14ac:dyDescent="0.25">
      <c r="A11" s="1">
        <v>1988</v>
      </c>
      <c r="B11" s="2">
        <v>24</v>
      </c>
      <c r="C11" s="2">
        <v>8</v>
      </c>
      <c r="D11" s="2">
        <v>19.29</v>
      </c>
      <c r="E11" s="2">
        <v>8</v>
      </c>
      <c r="F11" s="2">
        <v>19.3</v>
      </c>
      <c r="G11" s="2">
        <v>3</v>
      </c>
      <c r="H11" s="2">
        <v>21.68</v>
      </c>
      <c r="I11" s="2">
        <v>0</v>
      </c>
      <c r="J11" s="2">
        <v>0</v>
      </c>
      <c r="K11" s="3">
        <v>37974144.700000003</v>
      </c>
      <c r="L11" s="3">
        <v>7127494.5999999996</v>
      </c>
      <c r="M11" s="3">
        <v>0</v>
      </c>
    </row>
    <row r="12" spans="1:13" x14ac:dyDescent="0.25">
      <c r="A12" s="1">
        <v>1989</v>
      </c>
      <c r="B12" s="2">
        <v>31</v>
      </c>
      <c r="C12" s="2">
        <v>4</v>
      </c>
      <c r="D12" s="2">
        <v>18.16</v>
      </c>
      <c r="E12" s="2">
        <v>3</v>
      </c>
      <c r="F12" s="2">
        <v>19.05</v>
      </c>
      <c r="G12" s="2">
        <v>1</v>
      </c>
      <c r="H12" s="2">
        <v>20.309999999999999</v>
      </c>
      <c r="I12" s="2">
        <v>0</v>
      </c>
      <c r="J12" s="2">
        <v>0</v>
      </c>
      <c r="K12" s="3">
        <v>27616465.699999999</v>
      </c>
      <c r="L12" s="3">
        <v>4053559.3</v>
      </c>
      <c r="M12" s="3">
        <v>0</v>
      </c>
    </row>
    <row r="13" spans="1:13" x14ac:dyDescent="0.25">
      <c r="A13" s="1">
        <v>1990</v>
      </c>
      <c r="B13" s="2">
        <v>32</v>
      </c>
      <c r="C13" s="2">
        <v>8</v>
      </c>
      <c r="D13" s="2">
        <v>17.260000000000002</v>
      </c>
      <c r="E13" s="2">
        <v>6</v>
      </c>
      <c r="F13" s="2">
        <v>18.399999999999999</v>
      </c>
      <c r="G13" s="2">
        <v>1</v>
      </c>
      <c r="H13" s="2">
        <v>22.23</v>
      </c>
      <c r="I13" s="2">
        <v>0</v>
      </c>
      <c r="J13" s="2">
        <v>0</v>
      </c>
      <c r="K13" s="3">
        <v>47611932.799999997</v>
      </c>
      <c r="L13" s="3">
        <v>57867277.200000003</v>
      </c>
      <c r="M13" s="3">
        <v>0</v>
      </c>
    </row>
    <row r="14" spans="1:13" x14ac:dyDescent="0.25">
      <c r="A14" s="1">
        <v>1991</v>
      </c>
      <c r="B14" s="2">
        <v>17</v>
      </c>
      <c r="C14" s="2">
        <v>4</v>
      </c>
      <c r="D14" s="2">
        <v>16</v>
      </c>
      <c r="E14" s="2">
        <v>2</v>
      </c>
      <c r="F14" s="2">
        <v>17.22</v>
      </c>
      <c r="G14" s="2">
        <v>0</v>
      </c>
      <c r="H14" s="2">
        <v>0</v>
      </c>
      <c r="I14" s="2">
        <v>0</v>
      </c>
      <c r="J14" s="2">
        <v>0</v>
      </c>
      <c r="K14" s="3">
        <v>14818763.5</v>
      </c>
      <c r="L14" s="3">
        <v>0</v>
      </c>
      <c r="M14" s="3">
        <v>0</v>
      </c>
    </row>
    <row r="15" spans="1:13" x14ac:dyDescent="0.25">
      <c r="A15" s="1">
        <v>1992</v>
      </c>
      <c r="B15" s="2">
        <v>24</v>
      </c>
      <c r="C15" s="2">
        <v>2</v>
      </c>
      <c r="D15" s="2">
        <v>18.77</v>
      </c>
      <c r="E15" s="2">
        <v>2</v>
      </c>
      <c r="F15" s="2">
        <v>18.77</v>
      </c>
      <c r="G15" s="2">
        <v>1</v>
      </c>
      <c r="H15" s="2">
        <v>20.29</v>
      </c>
      <c r="I15" s="2">
        <v>0</v>
      </c>
      <c r="J15" s="2">
        <v>0</v>
      </c>
      <c r="K15" s="3">
        <v>13718987.800000001</v>
      </c>
      <c r="L15" s="3">
        <v>4622408.8</v>
      </c>
      <c r="M15" s="3">
        <v>0</v>
      </c>
    </row>
    <row r="16" spans="1:13" x14ac:dyDescent="0.25">
      <c r="A16" s="1">
        <v>1993</v>
      </c>
      <c r="B16" s="2">
        <v>31</v>
      </c>
      <c r="C16" s="2">
        <v>4</v>
      </c>
      <c r="D16" s="2">
        <v>18.38</v>
      </c>
      <c r="E16" s="2">
        <v>3</v>
      </c>
      <c r="F16" s="2">
        <v>19.62</v>
      </c>
      <c r="G16" s="2">
        <v>1</v>
      </c>
      <c r="H16" s="2">
        <v>20.75</v>
      </c>
      <c r="I16" s="2">
        <v>0</v>
      </c>
      <c r="J16" s="2">
        <v>0</v>
      </c>
      <c r="K16" s="3">
        <v>46643754.200000003</v>
      </c>
      <c r="L16" s="3">
        <v>9871182.9000000004</v>
      </c>
      <c r="M16" s="3">
        <v>0</v>
      </c>
    </row>
    <row r="17" spans="1:13" x14ac:dyDescent="0.25">
      <c r="A17" s="1">
        <v>1994</v>
      </c>
      <c r="B17" s="2">
        <v>43</v>
      </c>
      <c r="C17" s="2">
        <v>7</v>
      </c>
      <c r="D17" s="2">
        <v>18.739999999999998</v>
      </c>
      <c r="E17" s="2">
        <v>6</v>
      </c>
      <c r="F17" s="2">
        <v>19.55</v>
      </c>
      <c r="G17" s="2">
        <v>2</v>
      </c>
      <c r="H17" s="2">
        <v>23.56</v>
      </c>
      <c r="I17" s="2">
        <v>1</v>
      </c>
      <c r="J17" s="2">
        <v>25.95</v>
      </c>
      <c r="K17" s="3">
        <v>53058593.799999997</v>
      </c>
      <c r="L17" s="3">
        <v>89422717.799999997</v>
      </c>
      <c r="M17" s="3">
        <v>0</v>
      </c>
    </row>
    <row r="18" spans="1:13" x14ac:dyDescent="0.25">
      <c r="A18" s="1">
        <v>1995</v>
      </c>
      <c r="B18" s="2">
        <v>18</v>
      </c>
      <c r="C18" s="2">
        <v>4</v>
      </c>
      <c r="D18" s="2">
        <v>20.92</v>
      </c>
      <c r="E18" s="2">
        <v>4</v>
      </c>
      <c r="F18" s="2">
        <v>20.92</v>
      </c>
      <c r="G18" s="2">
        <v>3</v>
      </c>
      <c r="H18" s="2">
        <v>21.84</v>
      </c>
      <c r="I18" s="2">
        <v>0</v>
      </c>
      <c r="J18" s="2">
        <v>0</v>
      </c>
      <c r="K18" s="3">
        <v>65025375.799999997</v>
      </c>
      <c r="L18" s="3">
        <v>47133531.899999999</v>
      </c>
      <c r="M18" s="3">
        <v>0</v>
      </c>
    </row>
    <row r="19" spans="1:13" x14ac:dyDescent="0.25">
      <c r="A19" s="1">
        <v>1996</v>
      </c>
      <c r="B19" s="2">
        <v>33</v>
      </c>
      <c r="C19" s="2">
        <v>6</v>
      </c>
      <c r="D19" s="2">
        <v>16.45</v>
      </c>
      <c r="E19" s="2">
        <v>4</v>
      </c>
      <c r="F19" s="2">
        <v>19.02</v>
      </c>
      <c r="G19" s="2">
        <v>2</v>
      </c>
      <c r="H19" s="2">
        <v>21.21</v>
      </c>
      <c r="I19" s="2">
        <v>0</v>
      </c>
      <c r="J19" s="2">
        <v>0</v>
      </c>
      <c r="K19" s="3">
        <v>46549765.700000003</v>
      </c>
      <c r="L19" s="3">
        <v>14394932.9</v>
      </c>
      <c r="M19" s="3">
        <v>0</v>
      </c>
    </row>
    <row r="20" spans="1:13" x14ac:dyDescent="0.25">
      <c r="A20" s="1">
        <v>1997</v>
      </c>
      <c r="B20" s="2">
        <v>28</v>
      </c>
      <c r="C20" s="2">
        <v>6</v>
      </c>
      <c r="D20" s="2">
        <v>16.84</v>
      </c>
      <c r="E20" s="2">
        <v>5</v>
      </c>
      <c r="F20" s="2">
        <v>17.14</v>
      </c>
      <c r="G20" s="2">
        <v>0</v>
      </c>
      <c r="H20" s="2">
        <v>0</v>
      </c>
      <c r="I20" s="2">
        <v>0</v>
      </c>
      <c r="J20" s="2">
        <v>0</v>
      </c>
      <c r="K20" s="3">
        <v>9854601.1999999993</v>
      </c>
      <c r="L20" s="3">
        <v>0</v>
      </c>
      <c r="M20" s="3">
        <v>0</v>
      </c>
    </row>
    <row r="21" spans="1:13" x14ac:dyDescent="0.25">
      <c r="A21" s="1">
        <v>1998</v>
      </c>
      <c r="B21" s="2">
        <v>29</v>
      </c>
      <c r="C21" s="2">
        <v>5</v>
      </c>
      <c r="D21" s="2">
        <v>18.690000000000001</v>
      </c>
      <c r="E21" s="2">
        <v>4</v>
      </c>
      <c r="F21" s="2">
        <v>19.54</v>
      </c>
      <c r="G21" s="2">
        <v>1</v>
      </c>
      <c r="H21" s="2">
        <v>25.17</v>
      </c>
      <c r="I21" s="2">
        <v>1</v>
      </c>
      <c r="J21" s="2">
        <v>25.17</v>
      </c>
      <c r="K21" s="3">
        <v>27968739.300000001</v>
      </c>
      <c r="L21" s="3">
        <v>9622469.6999999993</v>
      </c>
      <c r="M21" s="3">
        <v>0</v>
      </c>
    </row>
    <row r="22" spans="1:13" x14ac:dyDescent="0.25">
      <c r="A22" s="1">
        <v>1999</v>
      </c>
      <c r="B22" s="2">
        <v>26</v>
      </c>
      <c r="C22" s="2">
        <v>6</v>
      </c>
      <c r="D22" s="2">
        <v>20.68</v>
      </c>
      <c r="E22" s="2">
        <v>5</v>
      </c>
      <c r="F22" s="2">
        <v>21.89</v>
      </c>
      <c r="G22" s="2">
        <v>3</v>
      </c>
      <c r="H22" s="2">
        <v>25.13</v>
      </c>
      <c r="I22" s="2">
        <v>1</v>
      </c>
      <c r="J22" s="2">
        <v>28.08</v>
      </c>
      <c r="K22" s="3">
        <v>82833936.400000006</v>
      </c>
      <c r="L22" s="3">
        <v>57801000.700000003</v>
      </c>
      <c r="M22" s="3">
        <v>38546747.200000003</v>
      </c>
    </row>
    <row r="23" spans="1:13" x14ac:dyDescent="0.25">
      <c r="A23" s="1">
        <v>2000</v>
      </c>
      <c r="B23" s="2">
        <v>42</v>
      </c>
      <c r="C23" s="2">
        <v>12</v>
      </c>
      <c r="D23" s="2">
        <v>17.88</v>
      </c>
      <c r="E23" s="2">
        <v>9</v>
      </c>
      <c r="F23" s="2">
        <v>19.489999999999998</v>
      </c>
      <c r="G23" s="2">
        <v>2</v>
      </c>
      <c r="H23" s="2">
        <v>21.4</v>
      </c>
      <c r="I23" s="2">
        <v>0</v>
      </c>
      <c r="J23" s="2">
        <v>0</v>
      </c>
      <c r="K23" s="3">
        <v>53670600.399999999</v>
      </c>
      <c r="L23" s="3">
        <v>29444421.699999999</v>
      </c>
      <c r="M23" s="3">
        <v>0</v>
      </c>
    </row>
    <row r="24" spans="1:13" x14ac:dyDescent="0.25">
      <c r="A24" s="1">
        <v>2001</v>
      </c>
      <c r="B24" s="2">
        <v>28</v>
      </c>
      <c r="C24" s="2">
        <v>5</v>
      </c>
      <c r="D24" s="2">
        <v>16.78</v>
      </c>
      <c r="E24" s="2">
        <v>3</v>
      </c>
      <c r="F24" s="2">
        <v>18.739999999999998</v>
      </c>
      <c r="G24" s="2">
        <v>0</v>
      </c>
      <c r="H24" s="2">
        <v>0</v>
      </c>
      <c r="I24" s="2">
        <v>0</v>
      </c>
      <c r="J24" s="2">
        <v>0</v>
      </c>
      <c r="K24" s="3">
        <v>62370941.200000003</v>
      </c>
      <c r="L24" s="3">
        <v>0</v>
      </c>
      <c r="M24" s="3">
        <v>0</v>
      </c>
    </row>
    <row r="25" spans="1:13" x14ac:dyDescent="0.25">
      <c r="A25" s="1">
        <v>2002</v>
      </c>
      <c r="B25" s="2">
        <v>27</v>
      </c>
      <c r="C25" s="2">
        <v>2</v>
      </c>
      <c r="D25" s="2">
        <v>22.56</v>
      </c>
      <c r="E25" s="2">
        <v>2</v>
      </c>
      <c r="F25" s="2">
        <v>22.59</v>
      </c>
      <c r="G25" s="2">
        <v>2</v>
      </c>
      <c r="H25" s="2">
        <v>22.59</v>
      </c>
      <c r="I25" s="2">
        <v>0</v>
      </c>
      <c r="J25" s="2">
        <v>0</v>
      </c>
      <c r="K25" s="3">
        <v>57049863.299999997</v>
      </c>
      <c r="L25" s="3">
        <v>42702014.5</v>
      </c>
      <c r="M25" s="3">
        <v>0</v>
      </c>
    </row>
    <row r="26" spans="1:13" x14ac:dyDescent="0.25">
      <c r="A26" s="1">
        <v>2003</v>
      </c>
      <c r="B26" s="2">
        <v>24</v>
      </c>
      <c r="C26" s="2">
        <v>5</v>
      </c>
      <c r="D26" s="2">
        <v>17.850000000000001</v>
      </c>
      <c r="E26" s="2">
        <v>3</v>
      </c>
      <c r="F26" s="2">
        <v>20.56</v>
      </c>
      <c r="G26" s="2">
        <v>2</v>
      </c>
      <c r="H26" s="2">
        <v>22.33</v>
      </c>
      <c r="I26" s="2">
        <v>0</v>
      </c>
      <c r="J26" s="2">
        <v>0</v>
      </c>
      <c r="K26" s="3">
        <v>72210228.599999994</v>
      </c>
      <c r="L26" s="3">
        <v>24830098.100000001</v>
      </c>
      <c r="M26" s="3">
        <v>0</v>
      </c>
    </row>
    <row r="27" spans="1:13" x14ac:dyDescent="0.25">
      <c r="A27" s="1">
        <v>2004</v>
      </c>
      <c r="B27" s="2">
        <v>27</v>
      </c>
      <c r="C27" s="2">
        <v>3</v>
      </c>
      <c r="D27" s="2">
        <v>16.940000000000001</v>
      </c>
      <c r="E27" s="2">
        <v>2</v>
      </c>
      <c r="F27" s="2">
        <v>17.690000000000001</v>
      </c>
      <c r="G27" s="2">
        <v>0</v>
      </c>
      <c r="H27" s="2">
        <v>0</v>
      </c>
      <c r="I27" s="2">
        <v>0</v>
      </c>
      <c r="J27" s="2">
        <v>0</v>
      </c>
      <c r="K27" s="3">
        <v>53366252.5</v>
      </c>
      <c r="L27" s="3">
        <v>0</v>
      </c>
      <c r="M27" s="3">
        <v>0</v>
      </c>
    </row>
    <row r="28" spans="1:13" x14ac:dyDescent="0.25">
      <c r="A28" s="1">
        <v>2005</v>
      </c>
      <c r="B28" s="2">
        <v>21</v>
      </c>
      <c r="C28" s="2">
        <v>7</v>
      </c>
      <c r="D28" s="2">
        <v>18.600000000000001</v>
      </c>
      <c r="E28" s="2">
        <v>6</v>
      </c>
      <c r="F28" s="2">
        <v>19.190000000000001</v>
      </c>
      <c r="G28" s="2">
        <v>1</v>
      </c>
      <c r="H28" s="2">
        <v>22.76</v>
      </c>
      <c r="I28" s="2">
        <v>0</v>
      </c>
      <c r="J28" s="2">
        <v>0</v>
      </c>
      <c r="K28" s="3">
        <v>26178179.300000001</v>
      </c>
      <c r="L28" s="3">
        <v>0</v>
      </c>
      <c r="M28" s="3">
        <v>0</v>
      </c>
    </row>
    <row r="29" spans="1:13" x14ac:dyDescent="0.25">
      <c r="A29" s="1">
        <v>2006</v>
      </c>
      <c r="B29" s="2">
        <v>41</v>
      </c>
      <c r="C29" s="2">
        <v>15</v>
      </c>
      <c r="D29" s="2">
        <v>20.16</v>
      </c>
      <c r="E29" s="2">
        <v>13</v>
      </c>
      <c r="F29" s="2">
        <v>21.43</v>
      </c>
      <c r="G29" s="2">
        <v>10</v>
      </c>
      <c r="H29" s="2">
        <v>22.41</v>
      </c>
      <c r="I29" s="2">
        <v>1</v>
      </c>
      <c r="J29" s="2">
        <v>25.12</v>
      </c>
      <c r="K29" s="3">
        <v>96025249.299999997</v>
      </c>
      <c r="L29" s="3">
        <v>31895643.300000001</v>
      </c>
      <c r="M29" s="3">
        <v>8761903</v>
      </c>
    </row>
    <row r="30" spans="1:13" x14ac:dyDescent="0.25">
      <c r="A30" s="1">
        <v>2007</v>
      </c>
      <c r="B30" s="2">
        <v>29</v>
      </c>
      <c r="C30" s="2">
        <v>6</v>
      </c>
      <c r="D30" s="2">
        <v>17.16</v>
      </c>
      <c r="E30" s="2">
        <v>4</v>
      </c>
      <c r="F30" s="2">
        <v>18.96</v>
      </c>
      <c r="G30" s="2">
        <v>1</v>
      </c>
      <c r="H30" s="2">
        <v>21.58</v>
      </c>
      <c r="I30" s="2">
        <v>0</v>
      </c>
      <c r="J30" s="2">
        <v>0</v>
      </c>
      <c r="K30" s="3">
        <v>25292514.699999999</v>
      </c>
      <c r="L30" s="3">
        <v>9898795.3000000007</v>
      </c>
      <c r="M30" s="3">
        <v>0</v>
      </c>
    </row>
    <row r="31" spans="1:13" x14ac:dyDescent="0.25">
      <c r="A31" s="1">
        <v>2008</v>
      </c>
      <c r="B31" s="2">
        <v>28</v>
      </c>
      <c r="C31" s="2">
        <v>5</v>
      </c>
      <c r="D31" s="2">
        <v>18.61</v>
      </c>
      <c r="E31" s="2">
        <v>5</v>
      </c>
      <c r="F31" s="2">
        <v>18.61</v>
      </c>
      <c r="G31" s="2">
        <v>1</v>
      </c>
      <c r="H31" s="2">
        <v>21.01</v>
      </c>
      <c r="I31" s="2">
        <v>0</v>
      </c>
      <c r="J31" s="2">
        <v>0</v>
      </c>
      <c r="K31" s="3">
        <v>24199352.100000001</v>
      </c>
      <c r="L31" s="3">
        <v>4315025.2</v>
      </c>
      <c r="M31" s="3">
        <v>0</v>
      </c>
    </row>
    <row r="32" spans="1:13" x14ac:dyDescent="0.25">
      <c r="A32" s="1">
        <v>2009</v>
      </c>
      <c r="B32" s="2">
        <v>29</v>
      </c>
      <c r="C32" s="2">
        <v>4</v>
      </c>
      <c r="D32" s="2">
        <v>18.41</v>
      </c>
      <c r="E32" s="2">
        <v>3</v>
      </c>
      <c r="F32" s="2">
        <v>21.15</v>
      </c>
      <c r="G32" s="2">
        <v>2</v>
      </c>
      <c r="H32" s="2">
        <v>22.29</v>
      </c>
      <c r="I32" s="2">
        <v>0</v>
      </c>
      <c r="J32" s="2">
        <v>0</v>
      </c>
      <c r="K32" s="3">
        <v>38031662.100000001</v>
      </c>
      <c r="L32" s="3">
        <v>15029141.9</v>
      </c>
      <c r="M32" s="3">
        <v>0</v>
      </c>
    </row>
    <row r="33" spans="1:13" x14ac:dyDescent="0.25">
      <c r="A33" s="1">
        <v>2010</v>
      </c>
      <c r="B33" s="2">
        <v>21</v>
      </c>
      <c r="C33" s="2">
        <v>4</v>
      </c>
      <c r="D33" s="2">
        <v>19.75</v>
      </c>
      <c r="E33" s="2">
        <v>3</v>
      </c>
      <c r="F33" s="2">
        <v>21.36</v>
      </c>
      <c r="G33" s="2">
        <v>2</v>
      </c>
      <c r="H33" s="2">
        <v>23.86</v>
      </c>
      <c r="I33" s="2">
        <v>0</v>
      </c>
      <c r="J33" s="2">
        <v>0</v>
      </c>
      <c r="K33" s="3">
        <v>58956560.600000001</v>
      </c>
      <c r="L33" s="3">
        <v>28224353.899999999</v>
      </c>
      <c r="M33" s="3">
        <v>0</v>
      </c>
    </row>
    <row r="34" spans="1:13" x14ac:dyDescent="0.25">
      <c r="A34" s="1">
        <v>2011</v>
      </c>
      <c r="B34" s="2">
        <v>16</v>
      </c>
      <c r="C34" s="2">
        <v>4</v>
      </c>
      <c r="D34" s="2">
        <v>20.7</v>
      </c>
      <c r="E34" s="2">
        <v>4</v>
      </c>
      <c r="F34" s="2">
        <v>20.7</v>
      </c>
      <c r="G34" s="2">
        <v>3</v>
      </c>
      <c r="H34" s="2">
        <v>22.02</v>
      </c>
      <c r="I34" s="2">
        <v>0</v>
      </c>
      <c r="J34" s="2">
        <v>0</v>
      </c>
      <c r="K34" s="3">
        <v>124772570.40000001</v>
      </c>
      <c r="L34" s="3">
        <v>42295298.700000003</v>
      </c>
      <c r="M34" s="3">
        <v>0</v>
      </c>
    </row>
    <row r="35" spans="1:13" x14ac:dyDescent="0.25">
      <c r="A35" s="1">
        <v>2012</v>
      </c>
      <c r="B35" s="2">
        <v>36</v>
      </c>
      <c r="C35" s="2">
        <v>7</v>
      </c>
      <c r="D35" s="2">
        <v>16.82</v>
      </c>
      <c r="E35" s="2">
        <v>5</v>
      </c>
      <c r="F35" s="2">
        <v>17.97</v>
      </c>
      <c r="G35" s="2">
        <v>1</v>
      </c>
      <c r="H35" s="2">
        <v>20.74</v>
      </c>
      <c r="I35" s="2">
        <v>0</v>
      </c>
      <c r="J35" s="2">
        <v>0</v>
      </c>
      <c r="K35" s="3">
        <v>17899827.5</v>
      </c>
      <c r="L35" s="3">
        <v>0</v>
      </c>
      <c r="M35" s="3">
        <v>0</v>
      </c>
    </row>
    <row r="36" spans="1:13" x14ac:dyDescent="0.25">
      <c r="A36" s="1">
        <v>2013</v>
      </c>
      <c r="B36" s="2">
        <v>37</v>
      </c>
      <c r="C36" s="2">
        <v>11</v>
      </c>
      <c r="D36" s="2">
        <v>19.84</v>
      </c>
      <c r="E36" s="2">
        <v>11</v>
      </c>
      <c r="F36" s="2">
        <v>19.84</v>
      </c>
      <c r="G36" s="2">
        <v>4</v>
      </c>
      <c r="H36" s="2">
        <v>23.16</v>
      </c>
      <c r="I36" s="2">
        <v>1</v>
      </c>
      <c r="J36" s="2">
        <v>26.66</v>
      </c>
      <c r="K36" s="3">
        <v>53552991.399999999</v>
      </c>
      <c r="L36" s="3">
        <v>28599231.399999999</v>
      </c>
      <c r="M36" s="3">
        <v>0</v>
      </c>
    </row>
    <row r="37" spans="1:13" x14ac:dyDescent="0.25">
      <c r="A37" s="1">
        <v>2014</v>
      </c>
      <c r="B37" s="2">
        <v>28</v>
      </c>
      <c r="C37" s="2">
        <v>8</v>
      </c>
      <c r="D37" s="2">
        <v>19.78</v>
      </c>
      <c r="E37" s="2">
        <v>8</v>
      </c>
      <c r="F37" s="2">
        <v>19.78</v>
      </c>
      <c r="G37" s="2">
        <v>3</v>
      </c>
      <c r="H37" s="2">
        <v>23.34</v>
      </c>
      <c r="I37" s="2">
        <v>1</v>
      </c>
      <c r="J37" s="2">
        <v>26.51</v>
      </c>
      <c r="K37" s="3">
        <v>46129163.399999999</v>
      </c>
      <c r="L37" s="3">
        <v>34066426.799999997</v>
      </c>
      <c r="M37" s="3">
        <v>0</v>
      </c>
    </row>
    <row r="38" spans="1:13" x14ac:dyDescent="0.25">
      <c r="A38" s="1">
        <v>2015</v>
      </c>
      <c r="B38" s="2">
        <v>38</v>
      </c>
      <c r="C38" s="2">
        <v>7</v>
      </c>
      <c r="D38" s="2">
        <v>19.96</v>
      </c>
      <c r="E38" s="2">
        <v>7</v>
      </c>
      <c r="F38" s="2">
        <v>19.96</v>
      </c>
      <c r="G38" s="2">
        <v>4</v>
      </c>
      <c r="H38" s="2">
        <v>21.85</v>
      </c>
      <c r="I38" s="2">
        <v>0</v>
      </c>
      <c r="J38" s="2">
        <v>0</v>
      </c>
      <c r="K38" s="3">
        <v>71289278.700000003</v>
      </c>
      <c r="L38" s="3">
        <v>25088239.399999999</v>
      </c>
      <c r="M38" s="3">
        <v>0</v>
      </c>
    </row>
    <row r="39" spans="1:13" x14ac:dyDescent="0.25">
      <c r="A39" s="1">
        <v>2016</v>
      </c>
      <c r="B39" s="2">
        <v>23</v>
      </c>
      <c r="C39" s="2">
        <v>2</v>
      </c>
      <c r="D39" s="2">
        <v>19.32</v>
      </c>
      <c r="E39" s="2">
        <v>2</v>
      </c>
      <c r="F39" s="2">
        <v>19.32</v>
      </c>
      <c r="G39" s="2">
        <v>0</v>
      </c>
      <c r="H39" s="2">
        <v>0</v>
      </c>
      <c r="I39" s="2">
        <v>0</v>
      </c>
      <c r="J39" s="2">
        <v>0</v>
      </c>
      <c r="K39" s="3">
        <v>20795961.199999999</v>
      </c>
      <c r="L39" s="3">
        <v>0</v>
      </c>
      <c r="M39" s="3">
        <v>0</v>
      </c>
    </row>
    <row r="40" spans="1:13" x14ac:dyDescent="0.25">
      <c r="A40" s="1">
        <v>2017</v>
      </c>
      <c r="B40" s="2">
        <v>34</v>
      </c>
      <c r="C40" s="2">
        <v>5</v>
      </c>
      <c r="D40" s="2">
        <v>21.69</v>
      </c>
      <c r="E40" s="2">
        <v>5</v>
      </c>
      <c r="F40" s="2">
        <v>21.69</v>
      </c>
      <c r="G40" s="2">
        <v>2</v>
      </c>
      <c r="H40" s="2">
        <v>25.34</v>
      </c>
      <c r="I40" s="2">
        <v>1</v>
      </c>
      <c r="J40" s="2">
        <v>27.14</v>
      </c>
      <c r="K40" s="3">
        <v>51172004.799999997</v>
      </c>
      <c r="L40" s="3">
        <v>15487444.6</v>
      </c>
      <c r="M40" s="3">
        <v>0</v>
      </c>
    </row>
    <row r="41" spans="1:13" x14ac:dyDescent="0.25">
      <c r="A41" s="1">
        <v>2018</v>
      </c>
      <c r="B41" s="2">
        <v>31</v>
      </c>
      <c r="C41" s="2">
        <v>4</v>
      </c>
      <c r="D41" s="2">
        <v>17.420000000000002</v>
      </c>
      <c r="E41" s="2">
        <v>2</v>
      </c>
      <c r="F41" s="2">
        <v>19.88</v>
      </c>
      <c r="G41" s="2">
        <v>1</v>
      </c>
      <c r="H41" s="2">
        <v>21.14</v>
      </c>
      <c r="I41" s="2">
        <v>0</v>
      </c>
      <c r="J41" s="2">
        <v>0</v>
      </c>
      <c r="K41" s="3">
        <v>31827599.27</v>
      </c>
      <c r="L41" s="3">
        <v>26359018.699999999</v>
      </c>
      <c r="M41" s="3">
        <v>0</v>
      </c>
    </row>
    <row r="42" spans="1:13" x14ac:dyDescent="0.25">
      <c r="A42" s="1">
        <v>2019</v>
      </c>
      <c r="B42" s="2">
        <v>44</v>
      </c>
      <c r="C42" s="2">
        <v>7</v>
      </c>
      <c r="D42" s="2">
        <v>19.010000000000002</v>
      </c>
      <c r="E42" s="2">
        <v>6</v>
      </c>
      <c r="F42" s="2">
        <v>20.04</v>
      </c>
      <c r="G42" s="2">
        <v>3</v>
      </c>
      <c r="H42" s="2">
        <v>21.56</v>
      </c>
      <c r="I42" s="2">
        <v>0</v>
      </c>
      <c r="J42" s="2">
        <v>0</v>
      </c>
      <c r="K42" s="3">
        <v>46788685.130000003</v>
      </c>
      <c r="L42" s="3">
        <v>18202483.489999998</v>
      </c>
      <c r="M42" s="3">
        <v>0</v>
      </c>
    </row>
    <row r="43" spans="1:13" x14ac:dyDescent="0.25">
      <c r="A43" s="1">
        <v>2020</v>
      </c>
      <c r="B43" s="2">
        <v>33</v>
      </c>
      <c r="C43" s="2">
        <v>8</v>
      </c>
      <c r="D43" s="2">
        <v>17.3</v>
      </c>
      <c r="E43" s="2">
        <v>6</v>
      </c>
      <c r="F43" s="2">
        <v>18.329999999999998</v>
      </c>
      <c r="G43" s="2">
        <v>1</v>
      </c>
      <c r="H43" s="2">
        <v>21.12</v>
      </c>
      <c r="I43" s="2">
        <v>0</v>
      </c>
      <c r="J43" s="2">
        <v>0</v>
      </c>
      <c r="K43" s="3">
        <v>24207238.039999999</v>
      </c>
      <c r="L43" s="3">
        <v>5051047.74</v>
      </c>
      <c r="M43" s="3">
        <v>0</v>
      </c>
    </row>
    <row r="44" spans="1:13" x14ac:dyDescent="0.25">
      <c r="A44" s="4" t="s">
        <v>0</v>
      </c>
      <c r="B44" s="5">
        <f xml:space="preserve"> AVERAGEIF(B2:B43,"&gt;0")</f>
        <v>30</v>
      </c>
      <c r="C44" s="5">
        <f xml:space="preserve"> AVERAGEIF(C2:C43,"&gt;0")</f>
        <v>6.0952380952380949</v>
      </c>
      <c r="D44" s="5">
        <f xml:space="preserve"> AVERAGE(D2:D43)</f>
        <v>18.676904761904762</v>
      </c>
      <c r="E44" s="5">
        <f t="shared" ref="E44:K44" si="0" xml:space="preserve"> AVERAGEIF(E2:E43,"&gt;0")</f>
        <v>4.9285714285714288</v>
      </c>
      <c r="F44" s="5">
        <f t="shared" si="0"/>
        <v>19.703095238095244</v>
      </c>
      <c r="G44" s="5">
        <f t="shared" si="0"/>
        <v>2.25</v>
      </c>
      <c r="H44" s="5">
        <f t="shared" si="0"/>
        <v>22.502777777777776</v>
      </c>
      <c r="I44" s="5">
        <f t="shared" si="0"/>
        <v>1.0909090909090908</v>
      </c>
      <c r="J44" s="5">
        <f t="shared" si="0"/>
        <v>26.504545454545454</v>
      </c>
      <c r="K44" s="6">
        <f t="shared" si="0"/>
        <v>47776940.684285715</v>
      </c>
      <c r="L44" s="6">
        <f xml:space="preserve"> AVERAGEIF(L2:L43, "&gt;0")</f>
        <v>26803750.176666666</v>
      </c>
      <c r="M44" s="6">
        <f xml:space="preserve"> AVERAGEIF(M2:M43, "&gt;0")</f>
        <v>19035725.366666667</v>
      </c>
    </row>
    <row r="45" spans="1:13" x14ac:dyDescent="0.25">
      <c r="A45" s="4" t="s">
        <v>1</v>
      </c>
      <c r="B45" s="5">
        <f>SUM(B2:B43)</f>
        <v>1260</v>
      </c>
      <c r="C45" s="5">
        <f>SUM(C2:C43)</f>
        <v>256</v>
      </c>
      <c r="D45" s="5"/>
      <c r="E45" s="5">
        <f>SUM(E2:E43)</f>
        <v>207</v>
      </c>
      <c r="F45" s="5"/>
      <c r="G45" s="5">
        <f>SUM(G2:G43)</f>
        <v>81</v>
      </c>
      <c r="H45" s="5"/>
      <c r="I45" s="5">
        <f>SUM(I2:I43)</f>
        <v>12</v>
      </c>
      <c r="J45" s="5"/>
      <c r="K45" s="5"/>
      <c r="L45" s="5"/>
      <c r="M45" s="5"/>
    </row>
    <row r="48" spans="1:13" x14ac:dyDescent="0.25">
      <c r="B48" s="8" t="s">
        <v>3</v>
      </c>
      <c r="C48" s="8"/>
      <c r="D48" s="8"/>
      <c r="E48" s="8"/>
      <c r="F48" s="8"/>
      <c r="G48" s="8"/>
      <c r="H48" s="8"/>
    </row>
  </sheetData>
  <mergeCells count="1">
    <mergeCell ref="B48:H4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26</v>
      </c>
      <c r="C2" s="2">
        <v>10</v>
      </c>
      <c r="D2" s="2">
        <v>17.100000000000001</v>
      </c>
      <c r="E2" s="2">
        <v>6</v>
      </c>
      <c r="F2" s="2">
        <v>19.53</v>
      </c>
      <c r="G2" s="2">
        <v>3</v>
      </c>
      <c r="H2" s="2">
        <v>21.84</v>
      </c>
      <c r="I2" s="2">
        <v>0</v>
      </c>
      <c r="J2" s="2">
        <v>0</v>
      </c>
      <c r="K2" s="3">
        <v>11351997.9</v>
      </c>
      <c r="L2" s="3">
        <v>0</v>
      </c>
      <c r="M2" s="3">
        <v>0</v>
      </c>
    </row>
    <row r="3" spans="1:13" x14ac:dyDescent="0.25">
      <c r="A3" s="1">
        <v>1980</v>
      </c>
      <c r="B3" s="2">
        <v>24</v>
      </c>
      <c r="C3" s="2">
        <v>12</v>
      </c>
      <c r="D3" s="2">
        <v>17.82</v>
      </c>
      <c r="E3" s="2">
        <v>9</v>
      </c>
      <c r="F3" s="2">
        <v>19.07</v>
      </c>
      <c r="G3" s="2">
        <v>3</v>
      </c>
      <c r="H3" s="2">
        <v>22.31</v>
      </c>
      <c r="I3" s="2">
        <v>0</v>
      </c>
      <c r="J3" s="2">
        <v>0</v>
      </c>
      <c r="K3" s="3">
        <v>3984006.2</v>
      </c>
      <c r="L3" s="3">
        <v>0</v>
      </c>
      <c r="M3" s="3">
        <v>0</v>
      </c>
    </row>
    <row r="4" spans="1:13" x14ac:dyDescent="0.25">
      <c r="A4" s="1">
        <v>1981</v>
      </c>
      <c r="B4" s="2">
        <v>33</v>
      </c>
      <c r="C4" s="2">
        <v>14</v>
      </c>
      <c r="D4" s="2">
        <v>18.03</v>
      </c>
      <c r="E4" s="2">
        <v>12</v>
      </c>
      <c r="F4" s="2">
        <v>18.48</v>
      </c>
      <c r="G4" s="2">
        <v>3</v>
      </c>
      <c r="H4" s="2">
        <v>22.29</v>
      </c>
      <c r="I4" s="2">
        <v>0</v>
      </c>
      <c r="J4" s="2">
        <v>0</v>
      </c>
      <c r="K4" s="3">
        <v>7568286.5999999996</v>
      </c>
      <c r="L4" s="3">
        <v>5254763.8</v>
      </c>
      <c r="M4" s="3">
        <v>0</v>
      </c>
    </row>
    <row r="5" spans="1:13" x14ac:dyDescent="0.25">
      <c r="A5" s="1">
        <v>1982</v>
      </c>
      <c r="B5" s="2">
        <v>27</v>
      </c>
      <c r="C5" s="2">
        <v>6</v>
      </c>
      <c r="D5" s="2">
        <v>16.07</v>
      </c>
      <c r="E5" s="2">
        <v>3</v>
      </c>
      <c r="F5" s="2">
        <v>18.86</v>
      </c>
      <c r="G5" s="2">
        <v>1</v>
      </c>
      <c r="H5" s="2">
        <v>20.13</v>
      </c>
      <c r="I5" s="2">
        <v>0</v>
      </c>
      <c r="J5" s="2">
        <v>0</v>
      </c>
      <c r="K5" s="3">
        <v>5411944.0999999996</v>
      </c>
      <c r="L5" s="3">
        <v>0</v>
      </c>
      <c r="M5" s="3">
        <v>0</v>
      </c>
    </row>
    <row r="6" spans="1:13" x14ac:dyDescent="0.25">
      <c r="A6" s="1">
        <v>1983</v>
      </c>
      <c r="B6" s="2">
        <v>22</v>
      </c>
      <c r="C6" s="2">
        <v>6</v>
      </c>
      <c r="D6" s="2">
        <v>15.54</v>
      </c>
      <c r="E6" s="2">
        <v>3</v>
      </c>
      <c r="F6" s="2">
        <v>19.39</v>
      </c>
      <c r="G6" s="2">
        <v>1</v>
      </c>
      <c r="H6" s="2">
        <v>22.73</v>
      </c>
      <c r="I6" s="2">
        <v>0</v>
      </c>
      <c r="J6" s="2">
        <v>0</v>
      </c>
      <c r="K6" s="3">
        <v>5789130.2000000002</v>
      </c>
      <c r="L6" s="3">
        <v>0</v>
      </c>
      <c r="M6" s="3">
        <v>0</v>
      </c>
    </row>
    <row r="7" spans="1:13" x14ac:dyDescent="0.25">
      <c r="A7" s="1">
        <v>1984</v>
      </c>
      <c r="B7" s="2">
        <v>22</v>
      </c>
      <c r="C7" s="2">
        <v>12</v>
      </c>
      <c r="D7" s="2">
        <v>17.5</v>
      </c>
      <c r="E7" s="2">
        <v>9</v>
      </c>
      <c r="F7" s="2">
        <v>18.809999999999999</v>
      </c>
      <c r="G7" s="2">
        <v>5</v>
      </c>
      <c r="H7" s="2">
        <v>20.32</v>
      </c>
      <c r="I7" s="2">
        <v>0</v>
      </c>
      <c r="J7" s="2">
        <v>0</v>
      </c>
      <c r="K7" s="3">
        <v>4524483.9000000004</v>
      </c>
      <c r="L7" s="3">
        <v>0</v>
      </c>
      <c r="M7" s="3">
        <v>0</v>
      </c>
    </row>
    <row r="8" spans="1:13" x14ac:dyDescent="0.25">
      <c r="A8" s="1">
        <v>1985</v>
      </c>
      <c r="B8" s="2">
        <v>20</v>
      </c>
      <c r="C8" s="2">
        <v>5</v>
      </c>
      <c r="D8" s="2">
        <v>17.39</v>
      </c>
      <c r="E8" s="2">
        <v>4</v>
      </c>
      <c r="F8" s="2">
        <v>18.07</v>
      </c>
      <c r="G8" s="2">
        <v>0</v>
      </c>
      <c r="H8" s="2">
        <v>0</v>
      </c>
      <c r="I8" s="2">
        <v>0</v>
      </c>
      <c r="J8" s="2">
        <v>0</v>
      </c>
      <c r="K8" s="3">
        <v>10043083.4</v>
      </c>
      <c r="L8" s="3">
        <v>0</v>
      </c>
      <c r="M8" s="3">
        <v>0</v>
      </c>
    </row>
    <row r="9" spans="1:13" x14ac:dyDescent="0.25">
      <c r="A9" s="1">
        <v>1986</v>
      </c>
      <c r="B9" s="2">
        <v>17</v>
      </c>
      <c r="C9" s="2">
        <v>12</v>
      </c>
      <c r="D9" s="2">
        <v>17.66</v>
      </c>
      <c r="E9" s="2">
        <v>10</v>
      </c>
      <c r="F9" s="2">
        <v>18.93</v>
      </c>
      <c r="G9" s="2">
        <v>3</v>
      </c>
      <c r="H9" s="2">
        <v>21.39</v>
      </c>
      <c r="I9" s="2">
        <v>0</v>
      </c>
      <c r="J9" s="2">
        <v>0</v>
      </c>
      <c r="K9" s="3">
        <v>2714174.6</v>
      </c>
      <c r="L9" s="3">
        <v>0</v>
      </c>
      <c r="M9" s="3">
        <v>0</v>
      </c>
    </row>
    <row r="10" spans="1:13" x14ac:dyDescent="0.25">
      <c r="A10" s="1">
        <v>1987</v>
      </c>
      <c r="B10" s="2">
        <v>25</v>
      </c>
      <c r="C10" s="2">
        <v>7</v>
      </c>
      <c r="D10" s="2">
        <v>16.7</v>
      </c>
      <c r="E10" s="2">
        <v>3</v>
      </c>
      <c r="F10" s="2">
        <v>20.02</v>
      </c>
      <c r="G10" s="2">
        <v>1</v>
      </c>
      <c r="H10" s="2">
        <v>21.97</v>
      </c>
      <c r="I10" s="2">
        <v>0</v>
      </c>
      <c r="J10" s="2">
        <v>0</v>
      </c>
      <c r="K10" s="3">
        <v>25180016.600000001</v>
      </c>
      <c r="L10" s="3">
        <v>5448889.9000000004</v>
      </c>
      <c r="M10" s="3">
        <v>0</v>
      </c>
    </row>
    <row r="11" spans="1:13" x14ac:dyDescent="0.25">
      <c r="A11" s="1">
        <v>1988</v>
      </c>
      <c r="B11" s="2">
        <v>14</v>
      </c>
      <c r="C11" s="2">
        <v>4</v>
      </c>
      <c r="D11" s="2">
        <v>16.84</v>
      </c>
      <c r="E11" s="2">
        <v>3</v>
      </c>
      <c r="F11" s="2">
        <v>18.05</v>
      </c>
      <c r="G11" s="2">
        <v>0</v>
      </c>
      <c r="H11" s="2">
        <v>0</v>
      </c>
      <c r="I11" s="2">
        <v>0</v>
      </c>
      <c r="J11" s="2">
        <v>0</v>
      </c>
      <c r="K11" s="3">
        <v>6315070.9000000004</v>
      </c>
      <c r="L11" s="3">
        <v>0</v>
      </c>
      <c r="M11" s="3">
        <v>0</v>
      </c>
    </row>
    <row r="12" spans="1:13" x14ac:dyDescent="0.25">
      <c r="A12" s="1">
        <v>1989</v>
      </c>
      <c r="B12" s="2">
        <v>12</v>
      </c>
      <c r="C12" s="2">
        <v>8</v>
      </c>
      <c r="D12" s="2">
        <v>17.8</v>
      </c>
      <c r="E12" s="2">
        <v>6</v>
      </c>
      <c r="F12" s="2">
        <v>19.57</v>
      </c>
      <c r="G12" s="2">
        <v>2</v>
      </c>
      <c r="H12" s="2">
        <v>22.89</v>
      </c>
      <c r="I12" s="2">
        <v>0</v>
      </c>
      <c r="J12" s="2">
        <v>0</v>
      </c>
      <c r="K12" s="3">
        <v>79705187.599999994</v>
      </c>
      <c r="L12" s="3">
        <v>12044066.699999999</v>
      </c>
      <c r="M12" s="3">
        <v>0</v>
      </c>
    </row>
    <row r="13" spans="1:13" x14ac:dyDescent="0.25">
      <c r="A13" s="1">
        <v>1990</v>
      </c>
      <c r="B13" s="2">
        <v>23</v>
      </c>
      <c r="C13" s="2">
        <v>5</v>
      </c>
      <c r="D13" s="2">
        <v>16.940000000000001</v>
      </c>
      <c r="E13" s="2">
        <v>2</v>
      </c>
      <c r="F13" s="2">
        <v>21.99</v>
      </c>
      <c r="G13" s="2">
        <v>1</v>
      </c>
      <c r="H13" s="2">
        <v>24.87</v>
      </c>
      <c r="I13" s="2">
        <v>0</v>
      </c>
      <c r="J13" s="2">
        <v>0</v>
      </c>
      <c r="K13" s="3">
        <v>3023609</v>
      </c>
      <c r="L13" s="3">
        <v>0</v>
      </c>
      <c r="M13" s="3">
        <v>0</v>
      </c>
    </row>
    <row r="14" spans="1:13" x14ac:dyDescent="0.25">
      <c r="A14" s="1">
        <v>1991</v>
      </c>
      <c r="B14" s="2">
        <v>15</v>
      </c>
      <c r="C14" s="2">
        <v>7</v>
      </c>
      <c r="D14" s="2">
        <v>15.8</v>
      </c>
      <c r="E14" s="2">
        <v>3</v>
      </c>
      <c r="F14" s="2">
        <v>18.18</v>
      </c>
      <c r="G14" s="2">
        <v>0</v>
      </c>
      <c r="H14" s="2">
        <v>0</v>
      </c>
      <c r="I14" s="2">
        <v>0</v>
      </c>
      <c r="J14" s="2">
        <v>0</v>
      </c>
      <c r="K14" s="3">
        <v>4307232.5</v>
      </c>
      <c r="L14" s="3">
        <v>0</v>
      </c>
      <c r="M14" s="3">
        <v>0</v>
      </c>
    </row>
    <row r="15" spans="1:13" x14ac:dyDescent="0.25">
      <c r="A15" s="1">
        <v>1992</v>
      </c>
      <c r="B15" s="2">
        <v>21</v>
      </c>
      <c r="C15" s="2">
        <v>8</v>
      </c>
      <c r="D15" s="2">
        <v>14.97</v>
      </c>
      <c r="E15" s="2">
        <v>3</v>
      </c>
      <c r="F15" s="2">
        <v>19.309999999999999</v>
      </c>
      <c r="G15" s="2">
        <v>1</v>
      </c>
      <c r="H15" s="2">
        <v>21.93</v>
      </c>
      <c r="I15" s="2">
        <v>0</v>
      </c>
      <c r="J15" s="2">
        <v>0</v>
      </c>
      <c r="K15" s="3">
        <v>40299684.899999999</v>
      </c>
      <c r="L15" s="3">
        <v>0</v>
      </c>
      <c r="M15" s="3">
        <v>0</v>
      </c>
    </row>
    <row r="16" spans="1:13" x14ac:dyDescent="0.25">
      <c r="A16" s="1">
        <v>1993</v>
      </c>
      <c r="B16" s="2">
        <v>24</v>
      </c>
      <c r="C16" s="2">
        <v>9</v>
      </c>
      <c r="D16" s="2">
        <v>16.7</v>
      </c>
      <c r="E16" s="2">
        <v>5</v>
      </c>
      <c r="F16" s="2">
        <v>18.760000000000002</v>
      </c>
      <c r="G16" s="2">
        <v>1</v>
      </c>
      <c r="H16" s="2">
        <v>20.41</v>
      </c>
      <c r="I16" s="2">
        <v>0</v>
      </c>
      <c r="J16" s="2">
        <v>0</v>
      </c>
      <c r="K16" s="3">
        <v>16714446.800000001</v>
      </c>
      <c r="L16" s="3">
        <v>0</v>
      </c>
      <c r="M16" s="3">
        <v>0</v>
      </c>
    </row>
    <row r="17" spans="1:13" x14ac:dyDescent="0.25">
      <c r="A17" s="1">
        <v>1994</v>
      </c>
      <c r="B17" s="2">
        <v>27</v>
      </c>
      <c r="C17" s="2">
        <v>13</v>
      </c>
      <c r="D17" s="2">
        <v>16.559999999999999</v>
      </c>
      <c r="E17" s="2">
        <v>7</v>
      </c>
      <c r="F17" s="2">
        <v>18.489999999999998</v>
      </c>
      <c r="G17" s="2">
        <v>2</v>
      </c>
      <c r="H17" s="2">
        <v>21.01</v>
      </c>
      <c r="I17" s="2">
        <v>0</v>
      </c>
      <c r="J17" s="2">
        <v>0</v>
      </c>
      <c r="K17" s="3">
        <v>8777682.9000000004</v>
      </c>
      <c r="L17" s="3">
        <v>0</v>
      </c>
      <c r="M17" s="3">
        <v>0</v>
      </c>
    </row>
    <row r="18" spans="1:13" x14ac:dyDescent="0.25">
      <c r="A18" s="1">
        <v>1995</v>
      </c>
      <c r="B18" s="2">
        <v>18</v>
      </c>
      <c r="C18" s="2">
        <v>9</v>
      </c>
      <c r="D18" s="2">
        <v>16.89</v>
      </c>
      <c r="E18" s="2">
        <v>5</v>
      </c>
      <c r="F18" s="2">
        <v>19.63</v>
      </c>
      <c r="G18" s="2">
        <v>2</v>
      </c>
      <c r="H18" s="2">
        <v>22.73</v>
      </c>
      <c r="I18" s="2">
        <v>0</v>
      </c>
      <c r="J18" s="2">
        <v>0</v>
      </c>
      <c r="K18" s="3">
        <v>37823226</v>
      </c>
      <c r="L18" s="3">
        <v>20635033.600000001</v>
      </c>
      <c r="M18" s="3">
        <v>0</v>
      </c>
    </row>
    <row r="19" spans="1:13" x14ac:dyDescent="0.25">
      <c r="A19" s="1">
        <v>1996</v>
      </c>
      <c r="B19" s="2">
        <v>22</v>
      </c>
      <c r="C19" s="2">
        <v>6</v>
      </c>
      <c r="D19" s="2">
        <v>16.489999999999998</v>
      </c>
      <c r="E19" s="2">
        <v>4</v>
      </c>
      <c r="F19" s="2">
        <v>17.760000000000002</v>
      </c>
      <c r="G19" s="2">
        <v>0</v>
      </c>
      <c r="H19" s="2">
        <v>0</v>
      </c>
      <c r="I19" s="2">
        <v>0</v>
      </c>
      <c r="J19" s="2">
        <v>0</v>
      </c>
      <c r="K19" s="3">
        <v>3950903.7</v>
      </c>
      <c r="L19" s="3">
        <v>0</v>
      </c>
      <c r="M19" s="3">
        <v>0</v>
      </c>
    </row>
    <row r="20" spans="1:13" x14ac:dyDescent="0.25">
      <c r="A20" s="1">
        <v>1997</v>
      </c>
      <c r="B20" s="2">
        <v>21</v>
      </c>
      <c r="C20" s="2">
        <v>8</v>
      </c>
      <c r="D20" s="2">
        <v>16.88</v>
      </c>
      <c r="E20" s="2">
        <v>6</v>
      </c>
      <c r="F20" s="2">
        <v>17.84</v>
      </c>
      <c r="G20" s="2">
        <v>1</v>
      </c>
      <c r="H20" s="2">
        <v>21.04</v>
      </c>
      <c r="I20" s="2">
        <v>0</v>
      </c>
      <c r="J20" s="2">
        <v>0</v>
      </c>
      <c r="K20" s="3">
        <v>3065314</v>
      </c>
      <c r="L20" s="3">
        <v>0</v>
      </c>
      <c r="M20" s="3">
        <v>0</v>
      </c>
    </row>
    <row r="21" spans="1:13" x14ac:dyDescent="0.25">
      <c r="A21" s="1">
        <v>1998</v>
      </c>
      <c r="B21" s="2">
        <v>20</v>
      </c>
      <c r="C21" s="2">
        <v>8</v>
      </c>
      <c r="D21" s="2">
        <v>16.41</v>
      </c>
      <c r="E21" s="2">
        <v>5</v>
      </c>
      <c r="F21" s="2">
        <v>18.39</v>
      </c>
      <c r="G21" s="2">
        <v>1</v>
      </c>
      <c r="H21" s="2">
        <v>22.09</v>
      </c>
      <c r="I21" s="2">
        <v>0</v>
      </c>
      <c r="J21" s="2">
        <v>0</v>
      </c>
      <c r="K21" s="3">
        <v>19651178.699999999</v>
      </c>
      <c r="L21" s="3">
        <v>0</v>
      </c>
      <c r="M21" s="3">
        <v>0</v>
      </c>
    </row>
    <row r="22" spans="1:13" x14ac:dyDescent="0.25">
      <c r="A22" s="1">
        <v>1999</v>
      </c>
      <c r="B22" s="2">
        <v>23</v>
      </c>
      <c r="C22" s="2">
        <v>9</v>
      </c>
      <c r="D22" s="2">
        <v>19.23</v>
      </c>
      <c r="E22" s="2">
        <v>8</v>
      </c>
      <c r="F22" s="2">
        <v>20.079999999999998</v>
      </c>
      <c r="G22" s="2">
        <v>3</v>
      </c>
      <c r="H22" s="2">
        <v>24.87</v>
      </c>
      <c r="I22" s="2">
        <v>2</v>
      </c>
      <c r="J22" s="2">
        <v>26.51</v>
      </c>
      <c r="K22" s="3">
        <v>286232351.5</v>
      </c>
      <c r="L22" s="3">
        <v>58030461.899999999</v>
      </c>
      <c r="M22" s="3">
        <v>0</v>
      </c>
    </row>
    <row r="23" spans="1:13" x14ac:dyDescent="0.25">
      <c r="A23" s="1">
        <v>2000</v>
      </c>
      <c r="B23" s="2">
        <v>20</v>
      </c>
      <c r="C23" s="2">
        <v>6</v>
      </c>
      <c r="D23" s="2">
        <v>14.61</v>
      </c>
      <c r="E23" s="2">
        <v>3</v>
      </c>
      <c r="F23" s="2">
        <v>17.579999999999998</v>
      </c>
      <c r="G23" s="2">
        <v>0</v>
      </c>
      <c r="H23" s="2">
        <v>0</v>
      </c>
      <c r="I23" s="2">
        <v>0</v>
      </c>
      <c r="J23" s="2">
        <v>0</v>
      </c>
      <c r="K23" s="3">
        <v>2879789.1</v>
      </c>
      <c r="L23" s="3">
        <v>0</v>
      </c>
      <c r="M23" s="3">
        <v>0</v>
      </c>
    </row>
    <row r="24" spans="1:13" x14ac:dyDescent="0.25">
      <c r="A24" s="1">
        <v>2001</v>
      </c>
      <c r="B24" s="2">
        <v>15</v>
      </c>
      <c r="C24" s="2">
        <v>7</v>
      </c>
      <c r="D24" s="2">
        <v>15.91</v>
      </c>
      <c r="E24" s="2">
        <v>3</v>
      </c>
      <c r="F24" s="2">
        <v>18.79</v>
      </c>
      <c r="G24" s="2">
        <v>0</v>
      </c>
      <c r="H24" s="2">
        <v>0</v>
      </c>
      <c r="I24" s="2">
        <v>0</v>
      </c>
      <c r="J24" s="2">
        <v>0</v>
      </c>
      <c r="K24" s="3">
        <v>7054341.2999999998</v>
      </c>
      <c r="L24" s="3">
        <v>0</v>
      </c>
      <c r="M24" s="3">
        <v>0</v>
      </c>
    </row>
    <row r="25" spans="1:13" x14ac:dyDescent="0.25">
      <c r="A25" s="1">
        <v>2002</v>
      </c>
      <c r="B25" s="2">
        <v>18</v>
      </c>
      <c r="C25" s="2">
        <v>7</v>
      </c>
      <c r="D25" s="2">
        <v>14.91</v>
      </c>
      <c r="E25" s="2">
        <v>3</v>
      </c>
      <c r="F25" s="2">
        <v>18.73</v>
      </c>
      <c r="G25" s="2">
        <v>1</v>
      </c>
      <c r="H25" s="2">
        <v>21.85</v>
      </c>
      <c r="I25" s="2">
        <v>0</v>
      </c>
      <c r="J25" s="2">
        <v>0</v>
      </c>
      <c r="K25" s="3">
        <v>4778272.8</v>
      </c>
      <c r="L25" s="3">
        <v>0</v>
      </c>
      <c r="M25" s="3">
        <v>0</v>
      </c>
    </row>
    <row r="26" spans="1:13" x14ac:dyDescent="0.25">
      <c r="A26" s="1">
        <v>2003</v>
      </c>
      <c r="B26" s="2">
        <v>28</v>
      </c>
      <c r="C26" s="2">
        <v>9</v>
      </c>
      <c r="D26" s="2">
        <v>16.59</v>
      </c>
      <c r="E26" s="2">
        <v>5</v>
      </c>
      <c r="F26" s="2">
        <v>18.79</v>
      </c>
      <c r="G26" s="2">
        <v>1</v>
      </c>
      <c r="H26" s="2">
        <v>22.31</v>
      </c>
      <c r="I26" s="2">
        <v>0</v>
      </c>
      <c r="J26" s="2">
        <v>0</v>
      </c>
      <c r="K26" s="3">
        <v>10179504.800000001</v>
      </c>
      <c r="L26" s="3">
        <v>0</v>
      </c>
      <c r="M26" s="3">
        <v>0</v>
      </c>
    </row>
    <row r="27" spans="1:13" x14ac:dyDescent="0.25">
      <c r="A27" s="1">
        <v>2004</v>
      </c>
      <c r="B27" s="2">
        <v>23</v>
      </c>
      <c r="C27" s="2">
        <v>7</v>
      </c>
      <c r="D27" s="2">
        <v>16.53</v>
      </c>
      <c r="E27" s="2">
        <v>6</v>
      </c>
      <c r="F27" s="2">
        <v>17.16</v>
      </c>
      <c r="G27" s="2">
        <v>1</v>
      </c>
      <c r="H27" s="2">
        <v>21.63</v>
      </c>
      <c r="I27" s="2">
        <v>0</v>
      </c>
      <c r="J27" s="2">
        <v>0</v>
      </c>
      <c r="K27" s="3">
        <v>24729878.800000001</v>
      </c>
      <c r="L27" s="3">
        <v>0</v>
      </c>
      <c r="M27" s="3">
        <v>0</v>
      </c>
    </row>
    <row r="28" spans="1:13" x14ac:dyDescent="0.25">
      <c r="A28" s="1">
        <v>2005</v>
      </c>
      <c r="B28" s="2">
        <v>17</v>
      </c>
      <c r="C28" s="2">
        <v>6</v>
      </c>
      <c r="D28" s="2">
        <v>15.88</v>
      </c>
      <c r="E28" s="2">
        <v>3</v>
      </c>
      <c r="F28" s="2">
        <v>18.920000000000002</v>
      </c>
      <c r="G28" s="2">
        <v>1</v>
      </c>
      <c r="H28" s="2">
        <v>20.29</v>
      </c>
      <c r="I28" s="2">
        <v>0</v>
      </c>
      <c r="J28" s="2">
        <v>0</v>
      </c>
      <c r="K28" s="3">
        <v>0</v>
      </c>
      <c r="L28" s="3">
        <v>0</v>
      </c>
      <c r="M28" s="3">
        <v>0</v>
      </c>
    </row>
    <row r="29" spans="1:13" x14ac:dyDescent="0.25">
      <c r="A29" s="1">
        <v>2006</v>
      </c>
      <c r="B29" s="2">
        <v>20</v>
      </c>
      <c r="C29" s="2">
        <v>6</v>
      </c>
      <c r="D29" s="2">
        <v>16.47</v>
      </c>
      <c r="E29" s="2">
        <v>4</v>
      </c>
      <c r="F29" s="2">
        <v>18.100000000000001</v>
      </c>
      <c r="G29" s="2">
        <v>0</v>
      </c>
      <c r="H29" s="2">
        <v>0</v>
      </c>
      <c r="I29" s="2">
        <v>0</v>
      </c>
      <c r="J29" s="2">
        <v>0</v>
      </c>
      <c r="K29" s="3">
        <v>4598696</v>
      </c>
      <c r="L29" s="3">
        <v>0</v>
      </c>
      <c r="M29" s="3">
        <v>0</v>
      </c>
    </row>
    <row r="30" spans="1:13" x14ac:dyDescent="0.25">
      <c r="A30" s="1">
        <v>2007</v>
      </c>
      <c r="B30" s="2">
        <v>24</v>
      </c>
      <c r="C30" s="2">
        <v>9</v>
      </c>
      <c r="D30" s="2">
        <v>15.91</v>
      </c>
      <c r="E30" s="2">
        <v>4</v>
      </c>
      <c r="F30" s="2">
        <v>19.41</v>
      </c>
      <c r="G30" s="2">
        <v>3</v>
      </c>
      <c r="H30" s="2">
        <v>20.56</v>
      </c>
      <c r="I30" s="2">
        <v>0</v>
      </c>
      <c r="J30" s="2">
        <v>0</v>
      </c>
      <c r="K30" s="3">
        <v>9098290.8000000007</v>
      </c>
      <c r="L30" s="3">
        <v>0</v>
      </c>
      <c r="M30" s="3">
        <v>0</v>
      </c>
    </row>
    <row r="31" spans="1:13" x14ac:dyDescent="0.25">
      <c r="A31" s="1">
        <v>2008</v>
      </c>
      <c r="B31" s="2">
        <v>23</v>
      </c>
      <c r="C31" s="2">
        <v>5</v>
      </c>
      <c r="D31" s="2">
        <v>17.64</v>
      </c>
      <c r="E31" s="2">
        <v>3</v>
      </c>
      <c r="F31" s="2">
        <v>19.82</v>
      </c>
      <c r="G31" s="2">
        <v>1</v>
      </c>
      <c r="H31" s="2">
        <v>25.85</v>
      </c>
      <c r="I31" s="2">
        <v>1</v>
      </c>
      <c r="J31" s="2">
        <v>25.84</v>
      </c>
      <c r="K31" s="3">
        <v>52420665.5</v>
      </c>
      <c r="L31" s="3">
        <v>8160927.4000000004</v>
      </c>
      <c r="M31" s="3">
        <v>0</v>
      </c>
    </row>
    <row r="32" spans="1:13" x14ac:dyDescent="0.25">
      <c r="A32" s="1">
        <v>2009</v>
      </c>
      <c r="B32" s="2">
        <v>28</v>
      </c>
      <c r="C32" s="2">
        <v>8</v>
      </c>
      <c r="D32" s="2">
        <v>16.86</v>
      </c>
      <c r="E32" s="2">
        <v>7</v>
      </c>
      <c r="F32" s="2">
        <v>17.46</v>
      </c>
      <c r="G32" s="2">
        <v>1</v>
      </c>
      <c r="H32" s="2">
        <v>20.03</v>
      </c>
      <c r="I32" s="2">
        <v>0</v>
      </c>
      <c r="J32" s="2">
        <v>0</v>
      </c>
      <c r="K32" s="3">
        <v>3072609.5</v>
      </c>
      <c r="L32" s="3">
        <v>0</v>
      </c>
      <c r="M32" s="3">
        <v>0</v>
      </c>
    </row>
    <row r="33" spans="1:13" x14ac:dyDescent="0.25">
      <c r="A33" s="1">
        <v>2010</v>
      </c>
      <c r="B33" s="2">
        <v>25</v>
      </c>
      <c r="C33" s="2">
        <v>11</v>
      </c>
      <c r="D33" s="2">
        <v>16.12</v>
      </c>
      <c r="E33" s="2">
        <v>6</v>
      </c>
      <c r="F33" s="2">
        <v>18.940000000000001</v>
      </c>
      <c r="G33" s="2">
        <v>1</v>
      </c>
      <c r="H33" s="2">
        <v>22.21</v>
      </c>
      <c r="I33" s="2">
        <v>0</v>
      </c>
      <c r="J33" s="2">
        <v>0</v>
      </c>
      <c r="K33" s="3">
        <v>0</v>
      </c>
      <c r="L33" s="3">
        <v>0</v>
      </c>
      <c r="M33" s="3">
        <v>0</v>
      </c>
    </row>
    <row r="34" spans="1:13" x14ac:dyDescent="0.25">
      <c r="A34" s="1">
        <v>2011</v>
      </c>
      <c r="B34" s="2">
        <v>14</v>
      </c>
      <c r="C34" s="2">
        <v>6</v>
      </c>
      <c r="D34" s="2">
        <v>17.809999999999999</v>
      </c>
      <c r="E34" s="2">
        <v>4</v>
      </c>
      <c r="F34" s="2">
        <v>19.38</v>
      </c>
      <c r="G34" s="2">
        <v>1</v>
      </c>
      <c r="H34" s="2">
        <v>23.48</v>
      </c>
      <c r="I34" s="2">
        <v>0</v>
      </c>
      <c r="J34" s="2">
        <v>0</v>
      </c>
      <c r="K34" s="3">
        <v>114433796.59999999</v>
      </c>
      <c r="L34" s="3">
        <v>11816923.699999999</v>
      </c>
      <c r="M34" s="3">
        <v>0</v>
      </c>
    </row>
    <row r="35" spans="1:13" x14ac:dyDescent="0.25">
      <c r="A35" s="1">
        <v>2012</v>
      </c>
      <c r="B35" s="2">
        <v>30</v>
      </c>
      <c r="C35" s="2">
        <v>11</v>
      </c>
      <c r="D35" s="2">
        <v>15.97</v>
      </c>
      <c r="E35" s="2">
        <v>7</v>
      </c>
      <c r="F35" s="2">
        <v>17.96</v>
      </c>
      <c r="G35" s="2">
        <v>0</v>
      </c>
      <c r="H35" s="2">
        <v>0</v>
      </c>
      <c r="I35" s="2">
        <v>0</v>
      </c>
      <c r="J35" s="2">
        <v>0</v>
      </c>
      <c r="K35" s="3">
        <v>4737975.9000000004</v>
      </c>
      <c r="L35" s="3">
        <v>0</v>
      </c>
      <c r="M35" s="3">
        <v>0</v>
      </c>
    </row>
    <row r="36" spans="1:13" x14ac:dyDescent="0.25">
      <c r="A36" s="1">
        <v>2013</v>
      </c>
      <c r="B36" s="2">
        <v>23</v>
      </c>
      <c r="C36" s="2">
        <v>8</v>
      </c>
      <c r="D36" s="2">
        <v>17.96</v>
      </c>
      <c r="E36" s="2">
        <v>6</v>
      </c>
      <c r="F36" s="2">
        <v>19.440000000000001</v>
      </c>
      <c r="G36" s="2">
        <v>3</v>
      </c>
      <c r="H36" s="2">
        <v>21.16</v>
      </c>
      <c r="I36" s="2">
        <v>0</v>
      </c>
      <c r="J36" s="2">
        <v>0</v>
      </c>
      <c r="K36" s="3">
        <v>11790949.300000001</v>
      </c>
      <c r="L36" s="3">
        <v>5830744.2000000002</v>
      </c>
      <c r="M36" s="3">
        <v>0</v>
      </c>
    </row>
    <row r="37" spans="1:13" x14ac:dyDescent="0.25">
      <c r="A37" s="1">
        <v>2014</v>
      </c>
      <c r="B37" s="2">
        <v>20</v>
      </c>
      <c r="C37" s="2">
        <v>6</v>
      </c>
      <c r="D37" s="2">
        <v>18.329999999999998</v>
      </c>
      <c r="E37" s="2">
        <v>4</v>
      </c>
      <c r="F37" s="2">
        <v>20.38</v>
      </c>
      <c r="G37" s="2">
        <v>3</v>
      </c>
      <c r="H37" s="2">
        <v>20.84</v>
      </c>
      <c r="I37" s="2">
        <v>0</v>
      </c>
      <c r="J37" s="2">
        <v>0</v>
      </c>
      <c r="K37" s="3">
        <v>2731252.8</v>
      </c>
      <c r="L37" s="3">
        <v>0</v>
      </c>
      <c r="M37" s="3">
        <v>0</v>
      </c>
    </row>
    <row r="38" spans="1:13" x14ac:dyDescent="0.25">
      <c r="A38" s="1">
        <v>2015</v>
      </c>
      <c r="B38" s="2">
        <v>21</v>
      </c>
      <c r="C38" s="2">
        <v>8</v>
      </c>
      <c r="D38" s="2">
        <v>14.65</v>
      </c>
      <c r="E38" s="2">
        <v>2</v>
      </c>
      <c r="F38" s="2">
        <v>20.13</v>
      </c>
      <c r="G38" s="2">
        <v>1</v>
      </c>
      <c r="H38" s="2">
        <v>20.62</v>
      </c>
      <c r="I38" s="2">
        <v>0</v>
      </c>
      <c r="J38" s="2">
        <v>0</v>
      </c>
      <c r="K38" s="3">
        <v>31210872.100000001</v>
      </c>
      <c r="L38" s="3">
        <v>0</v>
      </c>
      <c r="M38" s="3">
        <v>0</v>
      </c>
    </row>
    <row r="39" spans="1:13" x14ac:dyDescent="0.25">
      <c r="A39" s="1">
        <v>2016</v>
      </c>
      <c r="B39" s="2">
        <v>22</v>
      </c>
      <c r="C39" s="2">
        <v>9</v>
      </c>
      <c r="D39" s="2">
        <v>16.93</v>
      </c>
      <c r="E39" s="2">
        <v>6</v>
      </c>
      <c r="F39" s="2">
        <v>18.510000000000002</v>
      </c>
      <c r="G39" s="2">
        <v>2</v>
      </c>
      <c r="H39" s="2">
        <v>22.44</v>
      </c>
      <c r="I39" s="2">
        <v>0</v>
      </c>
      <c r="J39" s="2">
        <v>0</v>
      </c>
      <c r="K39" s="3">
        <v>30311050.5</v>
      </c>
      <c r="L39" s="3">
        <v>6252523</v>
      </c>
      <c r="M39" s="3">
        <v>0</v>
      </c>
    </row>
    <row r="40" spans="1:13" x14ac:dyDescent="0.25">
      <c r="A40" s="1">
        <v>2017</v>
      </c>
      <c r="B40" s="2">
        <v>22</v>
      </c>
      <c r="C40" s="2">
        <v>10</v>
      </c>
      <c r="D40" s="2">
        <v>16.690000000000001</v>
      </c>
      <c r="E40" s="2">
        <v>6</v>
      </c>
      <c r="F40" s="2">
        <v>18.72</v>
      </c>
      <c r="G40" s="2">
        <v>1</v>
      </c>
      <c r="H40" s="2">
        <v>21.97</v>
      </c>
      <c r="I40" s="2">
        <v>0</v>
      </c>
      <c r="J40" s="2">
        <v>0</v>
      </c>
      <c r="K40" s="3">
        <v>3960375</v>
      </c>
      <c r="L40" s="3">
        <v>0</v>
      </c>
      <c r="M40" s="3">
        <v>0</v>
      </c>
    </row>
    <row r="41" spans="1:13" x14ac:dyDescent="0.25">
      <c r="A41" s="1">
        <v>2018</v>
      </c>
      <c r="B41" s="2">
        <v>14</v>
      </c>
      <c r="C41" s="2">
        <v>5</v>
      </c>
      <c r="D41" s="2">
        <v>15.87</v>
      </c>
      <c r="E41" s="2">
        <v>3</v>
      </c>
      <c r="F41" s="2">
        <v>17.41</v>
      </c>
      <c r="G41" s="2">
        <v>0</v>
      </c>
      <c r="H41" s="2">
        <v>0</v>
      </c>
      <c r="I41" s="2">
        <v>0</v>
      </c>
      <c r="J41" s="2">
        <v>0</v>
      </c>
      <c r="K41" s="3">
        <v>3440434.43</v>
      </c>
      <c r="L41" s="3">
        <v>0</v>
      </c>
      <c r="M41" s="3">
        <v>0</v>
      </c>
    </row>
    <row r="42" spans="1:13" x14ac:dyDescent="0.25">
      <c r="A42" s="1">
        <v>2019</v>
      </c>
      <c r="B42" s="2">
        <v>26</v>
      </c>
      <c r="C42" s="2">
        <v>9</v>
      </c>
      <c r="D42" s="2">
        <v>16.04</v>
      </c>
      <c r="E42" s="2">
        <v>6</v>
      </c>
      <c r="F42" s="2">
        <v>18.329999999999998</v>
      </c>
      <c r="G42" s="2">
        <v>1</v>
      </c>
      <c r="H42" s="2">
        <v>21.94</v>
      </c>
      <c r="I42" s="2">
        <v>0</v>
      </c>
      <c r="J42" s="2">
        <v>0</v>
      </c>
      <c r="K42" s="3">
        <v>7471988.6399999997</v>
      </c>
      <c r="L42" s="3">
        <v>0</v>
      </c>
      <c r="M42" s="3">
        <v>0</v>
      </c>
    </row>
    <row r="43" spans="1:13" x14ac:dyDescent="0.25">
      <c r="A43" s="1">
        <v>2020</v>
      </c>
      <c r="B43" s="2">
        <v>27</v>
      </c>
      <c r="C43" s="2">
        <v>7</v>
      </c>
      <c r="D43" s="2">
        <v>15.65</v>
      </c>
      <c r="E43" s="2">
        <v>3</v>
      </c>
      <c r="F43" s="2">
        <v>19.18</v>
      </c>
      <c r="G43" s="2">
        <v>0</v>
      </c>
      <c r="H43" s="2">
        <v>0</v>
      </c>
      <c r="I43" s="2">
        <v>0</v>
      </c>
      <c r="J43" s="2">
        <v>0</v>
      </c>
      <c r="K43" s="3">
        <v>20539451.449999999</v>
      </c>
      <c r="L43" s="3">
        <v>0</v>
      </c>
      <c r="M43" s="3">
        <v>0</v>
      </c>
    </row>
    <row r="44" spans="1:13" x14ac:dyDescent="0.25">
      <c r="A44" s="4" t="s">
        <v>0</v>
      </c>
      <c r="B44" s="5">
        <f xml:space="preserve"> AVERAGEIF(B2:B43,"&gt;0")</f>
        <v>21.80952380952381</v>
      </c>
      <c r="C44" s="5">
        <f t="shared" ref="C44:L44" si="0" xml:space="preserve"> AVERAGEIF(C2:C43,"&gt;0")</f>
        <v>8.0476190476190474</v>
      </c>
      <c r="D44" s="5">
        <f t="shared" si="0"/>
        <v>16.634523809523813</v>
      </c>
      <c r="E44" s="5">
        <f t="shared" si="0"/>
        <v>5</v>
      </c>
      <c r="F44" s="5">
        <f t="shared" si="0"/>
        <v>18.865476190476198</v>
      </c>
      <c r="G44" s="5">
        <f t="shared" si="0"/>
        <v>1.75</v>
      </c>
      <c r="H44" s="5">
        <f t="shared" si="0"/>
        <v>21.937500000000011</v>
      </c>
      <c r="I44" s="5">
        <f t="shared" si="0"/>
        <v>1.5</v>
      </c>
      <c r="J44" s="5">
        <f t="shared" si="0"/>
        <v>26.175000000000001</v>
      </c>
      <c r="K44" s="6">
        <f t="shared" si="0"/>
        <v>23396830.182999991</v>
      </c>
      <c r="L44" s="6">
        <f t="shared" si="0"/>
        <v>14830481.577777781</v>
      </c>
      <c r="M44" s="6">
        <f>IF(SUM(M2:M43)=0,0,AVERAGEIF(M2:M43,"&gt;0"))</f>
        <v>0</v>
      </c>
    </row>
    <row r="45" spans="1:13" x14ac:dyDescent="0.25">
      <c r="A45" s="4" t="s">
        <v>1</v>
      </c>
      <c r="B45" s="5">
        <f>SUM(B2:B43)</f>
        <v>916</v>
      </c>
      <c r="C45" s="5">
        <f>SUM(C2:C43)</f>
        <v>338</v>
      </c>
      <c r="D45" s="5"/>
      <c r="E45" s="5">
        <f>SUM(E2:E43)</f>
        <v>210</v>
      </c>
      <c r="F45" s="5"/>
      <c r="G45" s="5">
        <f>SUM(G2:G43)</f>
        <v>56</v>
      </c>
      <c r="H45" s="5"/>
      <c r="I45" s="5">
        <f>SUM(I2:I43)</f>
        <v>3</v>
      </c>
      <c r="J45" s="5"/>
      <c r="K45" s="5"/>
      <c r="L45" s="5"/>
      <c r="M45" s="5"/>
    </row>
    <row r="49" spans="2:7" x14ac:dyDescent="0.25">
      <c r="B49" s="7" t="s">
        <v>3</v>
      </c>
      <c r="C49" s="7"/>
      <c r="D49" s="7"/>
      <c r="E49" s="7"/>
      <c r="F49" s="7"/>
      <c r="G49"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13</v>
      </c>
      <c r="C2" s="2">
        <v>5</v>
      </c>
      <c r="D2" s="2">
        <v>18.68</v>
      </c>
      <c r="E2" s="2">
        <v>5</v>
      </c>
      <c r="F2" s="2">
        <v>18.68</v>
      </c>
      <c r="G2" s="2">
        <v>1</v>
      </c>
      <c r="H2" s="2">
        <v>23.95</v>
      </c>
      <c r="I2" s="2">
        <v>0</v>
      </c>
      <c r="J2" s="2">
        <v>0</v>
      </c>
      <c r="K2" s="3">
        <v>0</v>
      </c>
      <c r="L2" s="3">
        <v>0</v>
      </c>
      <c r="M2" s="3">
        <v>0</v>
      </c>
    </row>
    <row r="3" spans="1:13" x14ac:dyDescent="0.25">
      <c r="A3" s="1">
        <v>1980</v>
      </c>
      <c r="B3" s="2">
        <v>11</v>
      </c>
      <c r="C3" s="2">
        <v>6</v>
      </c>
      <c r="D3" s="2">
        <v>16.68</v>
      </c>
      <c r="E3" s="2">
        <v>5</v>
      </c>
      <c r="F3" s="2">
        <v>17.45</v>
      </c>
      <c r="G3" s="2">
        <v>0</v>
      </c>
      <c r="H3" s="2">
        <v>0</v>
      </c>
      <c r="I3" s="2">
        <v>0</v>
      </c>
      <c r="J3" s="2">
        <v>0</v>
      </c>
      <c r="K3" s="3">
        <v>0</v>
      </c>
      <c r="L3" s="3">
        <v>0</v>
      </c>
      <c r="M3" s="3">
        <v>0</v>
      </c>
    </row>
    <row r="4" spans="1:13" x14ac:dyDescent="0.25">
      <c r="A4" s="1">
        <v>1981</v>
      </c>
      <c r="B4" s="2">
        <v>15</v>
      </c>
      <c r="C4" s="2">
        <v>8</v>
      </c>
      <c r="D4" s="2">
        <v>15.52</v>
      </c>
      <c r="E4" s="2">
        <v>4</v>
      </c>
      <c r="F4" s="2">
        <v>17.22</v>
      </c>
      <c r="G4" s="2">
        <v>0</v>
      </c>
      <c r="H4" s="2">
        <v>0</v>
      </c>
      <c r="I4" s="2">
        <v>0</v>
      </c>
      <c r="J4" s="2">
        <v>0</v>
      </c>
      <c r="K4" s="3">
        <v>0</v>
      </c>
      <c r="L4" s="3">
        <v>0</v>
      </c>
      <c r="M4" s="3">
        <v>0</v>
      </c>
    </row>
    <row r="5" spans="1:13" x14ac:dyDescent="0.25">
      <c r="A5" s="1">
        <v>1982</v>
      </c>
      <c r="B5" s="2">
        <v>11</v>
      </c>
      <c r="C5" s="2">
        <v>3</v>
      </c>
      <c r="D5" s="2">
        <v>14.83</v>
      </c>
      <c r="E5" s="2">
        <v>1</v>
      </c>
      <c r="F5" s="2">
        <v>20</v>
      </c>
      <c r="G5" s="2">
        <v>1</v>
      </c>
      <c r="H5" s="2">
        <v>20</v>
      </c>
      <c r="I5" s="2">
        <v>0</v>
      </c>
      <c r="J5" s="2">
        <v>0</v>
      </c>
      <c r="K5" s="3">
        <v>0</v>
      </c>
      <c r="L5" s="3">
        <v>0</v>
      </c>
      <c r="M5" s="3">
        <v>0</v>
      </c>
    </row>
    <row r="6" spans="1:13" x14ac:dyDescent="0.25">
      <c r="A6" s="1">
        <v>1983</v>
      </c>
      <c r="B6" s="2">
        <v>15</v>
      </c>
      <c r="C6" s="2">
        <v>5</v>
      </c>
      <c r="D6" s="2">
        <v>16.489999999999998</v>
      </c>
      <c r="E6" s="2">
        <v>3</v>
      </c>
      <c r="F6" s="2">
        <v>20.34</v>
      </c>
      <c r="G6" s="2">
        <v>2</v>
      </c>
      <c r="H6" s="2">
        <v>21.42</v>
      </c>
      <c r="I6" s="2">
        <v>0</v>
      </c>
      <c r="J6" s="2">
        <v>0</v>
      </c>
      <c r="K6" s="3">
        <v>0</v>
      </c>
      <c r="L6" s="3">
        <v>0</v>
      </c>
      <c r="M6" s="3">
        <v>0</v>
      </c>
    </row>
    <row r="7" spans="1:13" x14ac:dyDescent="0.25">
      <c r="A7" s="1">
        <v>1984</v>
      </c>
      <c r="B7" s="2">
        <v>13</v>
      </c>
      <c r="C7" s="2">
        <v>4</v>
      </c>
      <c r="D7" s="2">
        <v>16.170000000000002</v>
      </c>
      <c r="E7" s="2">
        <v>1</v>
      </c>
      <c r="F7" s="2">
        <v>20.14</v>
      </c>
      <c r="G7" s="2">
        <v>1</v>
      </c>
      <c r="H7" s="2">
        <v>20.14</v>
      </c>
      <c r="I7" s="2">
        <v>0</v>
      </c>
      <c r="J7" s="2">
        <v>0</v>
      </c>
      <c r="K7" s="3">
        <v>0</v>
      </c>
      <c r="L7" s="3">
        <v>0</v>
      </c>
      <c r="M7" s="3">
        <v>0</v>
      </c>
    </row>
    <row r="8" spans="1:13" x14ac:dyDescent="0.25">
      <c r="A8" s="1">
        <v>1985</v>
      </c>
      <c r="B8" s="2">
        <v>15</v>
      </c>
      <c r="C8" s="2">
        <v>4</v>
      </c>
      <c r="D8" s="2">
        <v>13.86</v>
      </c>
      <c r="E8" s="2">
        <v>1</v>
      </c>
      <c r="F8" s="2">
        <v>19.829999999999998</v>
      </c>
      <c r="G8" s="2">
        <v>0</v>
      </c>
      <c r="H8" s="2">
        <v>0</v>
      </c>
      <c r="I8" s="2">
        <v>0</v>
      </c>
      <c r="J8" s="2">
        <v>0</v>
      </c>
      <c r="K8" s="3">
        <v>0</v>
      </c>
      <c r="L8" s="3">
        <v>0</v>
      </c>
      <c r="M8" s="3">
        <v>0</v>
      </c>
    </row>
    <row r="9" spans="1:13" x14ac:dyDescent="0.25">
      <c r="A9" s="1">
        <v>1986</v>
      </c>
      <c r="B9" s="2">
        <v>14</v>
      </c>
      <c r="C9" s="2">
        <v>1</v>
      </c>
      <c r="D9" s="2">
        <v>10.09</v>
      </c>
      <c r="E9" s="2">
        <v>0</v>
      </c>
      <c r="F9" s="2">
        <v>0</v>
      </c>
      <c r="G9" s="2">
        <v>0</v>
      </c>
      <c r="H9" s="2">
        <v>0</v>
      </c>
      <c r="I9" s="2">
        <v>0</v>
      </c>
      <c r="J9" s="2">
        <v>0</v>
      </c>
      <c r="K9" s="3">
        <v>0</v>
      </c>
      <c r="L9" s="3">
        <v>0</v>
      </c>
      <c r="M9" s="3">
        <v>0</v>
      </c>
    </row>
    <row r="10" spans="1:13" x14ac:dyDescent="0.25">
      <c r="A10" s="1">
        <v>1987</v>
      </c>
      <c r="B10" s="2">
        <v>23</v>
      </c>
      <c r="C10" s="2">
        <v>6</v>
      </c>
      <c r="D10" s="2">
        <v>16.45</v>
      </c>
      <c r="E10" s="2">
        <v>3</v>
      </c>
      <c r="F10" s="2">
        <v>20.52</v>
      </c>
      <c r="G10" s="2">
        <v>1</v>
      </c>
      <c r="H10" s="2">
        <v>23.37</v>
      </c>
      <c r="I10" s="2">
        <v>0</v>
      </c>
      <c r="J10" s="2">
        <v>0</v>
      </c>
      <c r="K10" s="3">
        <v>0</v>
      </c>
      <c r="L10" s="3">
        <v>0</v>
      </c>
      <c r="M10" s="3">
        <v>0</v>
      </c>
    </row>
    <row r="11" spans="1:13" x14ac:dyDescent="0.25">
      <c r="A11" s="1">
        <v>1988</v>
      </c>
      <c r="B11" s="2">
        <v>10</v>
      </c>
      <c r="C11" s="2">
        <v>2</v>
      </c>
      <c r="D11" s="2">
        <v>15.53</v>
      </c>
      <c r="E11" s="2">
        <v>1</v>
      </c>
      <c r="F11" s="2">
        <v>23.39</v>
      </c>
      <c r="G11" s="2">
        <v>1</v>
      </c>
      <c r="H11" s="2">
        <v>23.39</v>
      </c>
      <c r="I11" s="2">
        <v>0</v>
      </c>
      <c r="J11" s="2">
        <v>0</v>
      </c>
      <c r="K11" s="3">
        <v>0</v>
      </c>
      <c r="L11" s="3">
        <v>0</v>
      </c>
      <c r="M11" s="3">
        <v>0</v>
      </c>
    </row>
    <row r="12" spans="1:13" x14ac:dyDescent="0.25">
      <c r="A12" s="1">
        <v>1989</v>
      </c>
      <c r="B12" s="2">
        <v>11</v>
      </c>
      <c r="C12" s="2">
        <v>5</v>
      </c>
      <c r="D12" s="2">
        <v>17.899999999999999</v>
      </c>
      <c r="E12" s="2">
        <v>4</v>
      </c>
      <c r="F12" s="2">
        <v>19.920000000000002</v>
      </c>
      <c r="G12" s="2">
        <v>2</v>
      </c>
      <c r="H12" s="2">
        <v>23.62</v>
      </c>
      <c r="I12" s="2">
        <v>1</v>
      </c>
      <c r="J12" s="2">
        <v>26.28</v>
      </c>
      <c r="K12" s="3">
        <v>0</v>
      </c>
      <c r="L12" s="3">
        <v>0</v>
      </c>
      <c r="M12" s="3">
        <v>0</v>
      </c>
    </row>
    <row r="13" spans="1:13" x14ac:dyDescent="0.25">
      <c r="A13" s="1">
        <v>1990</v>
      </c>
      <c r="B13" s="2">
        <v>18</v>
      </c>
      <c r="C13" s="2">
        <v>8</v>
      </c>
      <c r="D13" s="2">
        <v>14.79</v>
      </c>
      <c r="E13" s="2">
        <v>4</v>
      </c>
      <c r="F13" s="2">
        <v>18.54</v>
      </c>
      <c r="G13" s="2">
        <v>0</v>
      </c>
      <c r="H13" s="2">
        <v>0</v>
      </c>
      <c r="I13" s="2">
        <v>0</v>
      </c>
      <c r="J13" s="2">
        <v>0</v>
      </c>
      <c r="K13" s="3">
        <v>0</v>
      </c>
      <c r="L13" s="3">
        <v>0</v>
      </c>
      <c r="M13" s="3">
        <v>0</v>
      </c>
    </row>
    <row r="14" spans="1:13" x14ac:dyDescent="0.25">
      <c r="A14" s="1">
        <v>1991</v>
      </c>
      <c r="B14" s="2">
        <v>9</v>
      </c>
      <c r="C14" s="2">
        <v>3</v>
      </c>
      <c r="D14" s="2">
        <v>12.59</v>
      </c>
      <c r="E14" s="2">
        <v>1</v>
      </c>
      <c r="F14" s="2">
        <v>16.22</v>
      </c>
      <c r="G14" s="2">
        <v>0</v>
      </c>
      <c r="H14" s="2">
        <v>0</v>
      </c>
      <c r="I14" s="2">
        <v>0</v>
      </c>
      <c r="J14" s="2">
        <v>0</v>
      </c>
      <c r="K14" s="3">
        <v>0</v>
      </c>
      <c r="L14" s="3">
        <v>0</v>
      </c>
      <c r="M14" s="3">
        <v>0</v>
      </c>
    </row>
    <row r="15" spans="1:13" x14ac:dyDescent="0.25">
      <c r="A15" s="1">
        <v>1992</v>
      </c>
      <c r="B15" s="2">
        <v>12</v>
      </c>
      <c r="C15" s="2">
        <v>6</v>
      </c>
      <c r="D15" s="2">
        <v>16.71</v>
      </c>
      <c r="E15" s="2">
        <v>3</v>
      </c>
      <c r="F15" s="2">
        <v>20.89</v>
      </c>
      <c r="G15" s="2">
        <v>2</v>
      </c>
      <c r="H15" s="2">
        <v>22.15</v>
      </c>
      <c r="I15" s="2">
        <v>0</v>
      </c>
      <c r="J15" s="2">
        <v>0</v>
      </c>
      <c r="K15" s="3">
        <v>0</v>
      </c>
      <c r="L15" s="3">
        <v>0</v>
      </c>
      <c r="M15" s="3">
        <v>0</v>
      </c>
    </row>
    <row r="16" spans="1:13" x14ac:dyDescent="0.25">
      <c r="A16" s="1">
        <v>1993</v>
      </c>
      <c r="B16" s="2">
        <v>17</v>
      </c>
      <c r="C16" s="2">
        <v>6</v>
      </c>
      <c r="D16" s="2">
        <v>18.61</v>
      </c>
      <c r="E16" s="2">
        <v>6</v>
      </c>
      <c r="F16" s="2">
        <v>18.600000000000001</v>
      </c>
      <c r="G16" s="2">
        <v>0</v>
      </c>
      <c r="H16" s="2">
        <v>0</v>
      </c>
      <c r="I16" s="2">
        <v>0</v>
      </c>
      <c r="J16" s="2">
        <v>0</v>
      </c>
      <c r="K16" s="3">
        <v>25099008.899999999</v>
      </c>
      <c r="L16" s="3">
        <v>0</v>
      </c>
      <c r="M16" s="3">
        <v>0</v>
      </c>
    </row>
    <row r="17" spans="1:13" x14ac:dyDescent="0.25">
      <c r="A17" s="1">
        <v>1994</v>
      </c>
      <c r="B17" s="2">
        <v>9</v>
      </c>
      <c r="C17" s="2">
        <v>2</v>
      </c>
      <c r="D17" s="2">
        <v>21.96</v>
      </c>
      <c r="E17" s="2">
        <v>2</v>
      </c>
      <c r="F17" s="2">
        <v>21.95</v>
      </c>
      <c r="G17" s="2">
        <v>1</v>
      </c>
      <c r="H17" s="2">
        <v>25.25</v>
      </c>
      <c r="I17" s="2">
        <v>1</v>
      </c>
      <c r="J17" s="2">
        <v>25.25</v>
      </c>
      <c r="K17" s="3">
        <v>11920097.800000001</v>
      </c>
      <c r="L17" s="3">
        <v>0</v>
      </c>
      <c r="M17" s="3">
        <v>0</v>
      </c>
    </row>
    <row r="18" spans="1:13" x14ac:dyDescent="0.25">
      <c r="A18" s="1">
        <v>1995</v>
      </c>
      <c r="B18" s="2">
        <v>14</v>
      </c>
      <c r="C18" s="2">
        <v>5</v>
      </c>
      <c r="D18" s="2">
        <v>16.579999999999998</v>
      </c>
      <c r="E18" s="2">
        <v>3</v>
      </c>
      <c r="F18" s="2">
        <v>18.93</v>
      </c>
      <c r="G18" s="2">
        <v>1</v>
      </c>
      <c r="H18" s="2">
        <v>21.47</v>
      </c>
      <c r="I18" s="2">
        <v>0</v>
      </c>
      <c r="J18" s="2">
        <v>0</v>
      </c>
      <c r="K18" s="3">
        <v>0</v>
      </c>
      <c r="L18" s="3">
        <v>0</v>
      </c>
      <c r="M18" s="3">
        <v>0</v>
      </c>
    </row>
    <row r="19" spans="1:13" x14ac:dyDescent="0.25">
      <c r="A19" s="1">
        <v>1996</v>
      </c>
      <c r="B19" s="2">
        <v>12</v>
      </c>
      <c r="C19" s="2">
        <v>6</v>
      </c>
      <c r="D19" s="2">
        <v>15.36</v>
      </c>
      <c r="E19" s="2">
        <v>2</v>
      </c>
      <c r="F19" s="2">
        <v>17.649999999999999</v>
      </c>
      <c r="G19" s="2">
        <v>0</v>
      </c>
      <c r="H19" s="2">
        <v>0</v>
      </c>
      <c r="I19" s="2">
        <v>0</v>
      </c>
      <c r="J19" s="2">
        <v>0</v>
      </c>
      <c r="K19" s="3">
        <v>0</v>
      </c>
      <c r="L19" s="3">
        <v>0</v>
      </c>
      <c r="M19" s="3">
        <v>0</v>
      </c>
    </row>
    <row r="20" spans="1:13" x14ac:dyDescent="0.25">
      <c r="A20" s="1">
        <v>1997</v>
      </c>
      <c r="B20" s="2">
        <v>12</v>
      </c>
      <c r="C20" s="2">
        <v>6</v>
      </c>
      <c r="D20" s="2">
        <v>16.079999999999998</v>
      </c>
      <c r="E20" s="2">
        <v>3</v>
      </c>
      <c r="F20" s="2">
        <v>19.690000000000001</v>
      </c>
      <c r="G20" s="2">
        <v>1</v>
      </c>
      <c r="H20" s="2">
        <v>23.04</v>
      </c>
      <c r="I20" s="2">
        <v>0</v>
      </c>
      <c r="J20" s="2">
        <v>0</v>
      </c>
      <c r="K20" s="3">
        <v>5188093.5999999996</v>
      </c>
      <c r="L20" s="3">
        <v>0</v>
      </c>
      <c r="M20" s="3">
        <v>0</v>
      </c>
    </row>
    <row r="21" spans="1:13" x14ac:dyDescent="0.25">
      <c r="A21" s="1">
        <v>1998</v>
      </c>
      <c r="B21" s="2">
        <v>17</v>
      </c>
      <c r="C21" s="2">
        <v>4</v>
      </c>
      <c r="D21" s="2">
        <v>16.53</v>
      </c>
      <c r="E21" s="2">
        <v>3</v>
      </c>
      <c r="F21" s="2">
        <v>17.809999999999999</v>
      </c>
      <c r="G21" s="2">
        <v>1</v>
      </c>
      <c r="H21" s="2">
        <v>20.77</v>
      </c>
      <c r="I21" s="2">
        <v>0</v>
      </c>
      <c r="J21" s="2">
        <v>0</v>
      </c>
      <c r="K21" s="3">
        <v>0</v>
      </c>
      <c r="L21" s="3">
        <v>0</v>
      </c>
      <c r="M21" s="3">
        <v>0</v>
      </c>
    </row>
    <row r="22" spans="1:13" x14ac:dyDescent="0.25">
      <c r="A22" s="1">
        <v>1999</v>
      </c>
      <c r="B22" s="2">
        <v>12</v>
      </c>
      <c r="C22" s="2">
        <v>5</v>
      </c>
      <c r="D22" s="2">
        <v>19.14</v>
      </c>
      <c r="E22" s="2">
        <v>4</v>
      </c>
      <c r="F22" s="2">
        <v>20.11</v>
      </c>
      <c r="G22" s="2">
        <v>2</v>
      </c>
      <c r="H22" s="2">
        <v>23.78</v>
      </c>
      <c r="I22" s="2">
        <v>1</v>
      </c>
      <c r="J22" s="2">
        <v>25.97</v>
      </c>
      <c r="K22" s="3">
        <v>7725262.7000000002</v>
      </c>
      <c r="L22" s="3">
        <v>0</v>
      </c>
      <c r="M22" s="3">
        <v>0</v>
      </c>
    </row>
    <row r="23" spans="1:13" x14ac:dyDescent="0.25">
      <c r="A23" s="1">
        <v>2000</v>
      </c>
      <c r="B23" s="2">
        <v>17</v>
      </c>
      <c r="C23" s="2">
        <v>6</v>
      </c>
      <c r="D23" s="2">
        <v>15.01</v>
      </c>
      <c r="E23" s="2">
        <v>3</v>
      </c>
      <c r="F23" s="2">
        <v>18.600000000000001</v>
      </c>
      <c r="G23" s="2">
        <v>0</v>
      </c>
      <c r="H23" s="2">
        <v>0</v>
      </c>
      <c r="I23" s="2">
        <v>0</v>
      </c>
      <c r="J23" s="2">
        <v>0</v>
      </c>
      <c r="K23" s="3">
        <v>0</v>
      </c>
      <c r="L23" s="3">
        <v>0</v>
      </c>
      <c r="M23" s="3">
        <v>0</v>
      </c>
    </row>
    <row r="24" spans="1:13" x14ac:dyDescent="0.25">
      <c r="A24" s="1">
        <v>2001</v>
      </c>
      <c r="B24" s="2">
        <v>9</v>
      </c>
      <c r="C24" s="2">
        <v>3</v>
      </c>
      <c r="D24" s="2">
        <v>16.88</v>
      </c>
      <c r="E24" s="2">
        <v>3</v>
      </c>
      <c r="F24" s="2">
        <v>16.88</v>
      </c>
      <c r="G24" s="2">
        <v>0</v>
      </c>
      <c r="H24" s="2">
        <v>0</v>
      </c>
      <c r="I24" s="2">
        <v>0</v>
      </c>
      <c r="J24" s="2">
        <v>0</v>
      </c>
      <c r="K24" s="3">
        <v>4782544.9000000004</v>
      </c>
      <c r="L24" s="3">
        <v>0</v>
      </c>
      <c r="M24" s="3">
        <v>0</v>
      </c>
    </row>
    <row r="25" spans="1:13" x14ac:dyDescent="0.25">
      <c r="A25" s="1">
        <v>2002</v>
      </c>
      <c r="B25" s="2">
        <v>24</v>
      </c>
      <c r="C25" s="2">
        <v>4</v>
      </c>
      <c r="D25" s="2">
        <v>16.23</v>
      </c>
      <c r="E25" s="2">
        <v>2</v>
      </c>
      <c r="F25" s="2">
        <v>18.23</v>
      </c>
      <c r="G25" s="2">
        <v>0</v>
      </c>
      <c r="H25" s="2">
        <v>0</v>
      </c>
      <c r="I25" s="2">
        <v>0</v>
      </c>
      <c r="J25" s="2">
        <v>0</v>
      </c>
      <c r="K25" s="3">
        <v>0</v>
      </c>
      <c r="L25" s="3">
        <v>0</v>
      </c>
      <c r="M25" s="3">
        <v>0</v>
      </c>
    </row>
    <row r="26" spans="1:13" x14ac:dyDescent="0.25">
      <c r="A26" s="1">
        <v>2003</v>
      </c>
      <c r="B26" s="2">
        <v>15</v>
      </c>
      <c r="C26" s="2">
        <v>6</v>
      </c>
      <c r="D26" s="2">
        <v>15.7</v>
      </c>
      <c r="E26" s="2">
        <v>3</v>
      </c>
      <c r="F26" s="2">
        <v>19.63</v>
      </c>
      <c r="G26" s="2">
        <v>1</v>
      </c>
      <c r="H26" s="2">
        <v>22.31</v>
      </c>
      <c r="I26" s="2">
        <v>0</v>
      </c>
      <c r="J26" s="2">
        <v>0</v>
      </c>
      <c r="K26" s="3">
        <v>0</v>
      </c>
      <c r="L26" s="3">
        <v>0</v>
      </c>
      <c r="M26" s="3">
        <v>0</v>
      </c>
    </row>
    <row r="27" spans="1:13" x14ac:dyDescent="0.25">
      <c r="A27" s="1">
        <v>2004</v>
      </c>
      <c r="B27" s="2">
        <v>10</v>
      </c>
      <c r="C27" s="2">
        <v>4</v>
      </c>
      <c r="D27" s="2">
        <v>17.97</v>
      </c>
      <c r="E27" s="2">
        <v>3</v>
      </c>
      <c r="F27" s="2">
        <v>19.32</v>
      </c>
      <c r="G27" s="2">
        <v>2</v>
      </c>
      <c r="H27" s="2">
        <v>21.07</v>
      </c>
      <c r="I27" s="2">
        <v>0</v>
      </c>
      <c r="J27" s="2">
        <v>0</v>
      </c>
      <c r="K27" s="3">
        <v>12493627.699999999</v>
      </c>
      <c r="L27" s="3">
        <v>0</v>
      </c>
      <c r="M27" s="3">
        <v>0</v>
      </c>
    </row>
    <row r="28" spans="1:13" x14ac:dyDescent="0.25">
      <c r="A28" s="1">
        <v>2005</v>
      </c>
      <c r="B28" s="2">
        <v>13</v>
      </c>
      <c r="C28" s="2">
        <v>6</v>
      </c>
      <c r="D28" s="2">
        <v>14.58</v>
      </c>
      <c r="E28" s="2">
        <v>3</v>
      </c>
      <c r="F28" s="2">
        <v>17.920000000000002</v>
      </c>
      <c r="G28" s="2">
        <v>0</v>
      </c>
      <c r="H28" s="2">
        <v>0</v>
      </c>
      <c r="I28" s="2">
        <v>0</v>
      </c>
      <c r="J28" s="2">
        <v>0</v>
      </c>
      <c r="K28" s="3">
        <v>0</v>
      </c>
      <c r="L28" s="3">
        <v>0</v>
      </c>
      <c r="M28" s="3">
        <v>0</v>
      </c>
    </row>
    <row r="29" spans="1:13" x14ac:dyDescent="0.25">
      <c r="A29" s="1">
        <v>2006</v>
      </c>
      <c r="B29" s="2">
        <v>12</v>
      </c>
      <c r="C29" s="2">
        <v>5</v>
      </c>
      <c r="D29" s="2">
        <v>15.13</v>
      </c>
      <c r="E29" s="2">
        <v>3</v>
      </c>
      <c r="F29" s="2">
        <v>18.170000000000002</v>
      </c>
      <c r="G29" s="2">
        <v>0</v>
      </c>
      <c r="H29" s="2">
        <v>0</v>
      </c>
      <c r="I29" s="2">
        <v>0</v>
      </c>
      <c r="J29" s="2">
        <v>0</v>
      </c>
      <c r="K29" s="3">
        <v>0</v>
      </c>
      <c r="L29" s="3">
        <v>0</v>
      </c>
      <c r="M29" s="3">
        <v>0</v>
      </c>
    </row>
    <row r="30" spans="1:13" x14ac:dyDescent="0.25">
      <c r="A30" s="1">
        <v>2007</v>
      </c>
      <c r="B30" s="2">
        <v>7</v>
      </c>
      <c r="C30" s="2">
        <v>1</v>
      </c>
      <c r="D30" s="2">
        <v>17.670000000000002</v>
      </c>
      <c r="E30" s="2">
        <v>1</v>
      </c>
      <c r="F30" s="2">
        <v>17.670000000000002</v>
      </c>
      <c r="G30" s="2">
        <v>0</v>
      </c>
      <c r="H30" s="2">
        <v>0</v>
      </c>
      <c r="I30" s="2">
        <v>0</v>
      </c>
      <c r="J30" s="2">
        <v>0</v>
      </c>
      <c r="K30" s="3">
        <v>2225066.4</v>
      </c>
      <c r="L30" s="3">
        <v>0</v>
      </c>
      <c r="M30" s="3">
        <v>0</v>
      </c>
    </row>
    <row r="31" spans="1:13" x14ac:dyDescent="0.25">
      <c r="A31" s="1">
        <v>2008</v>
      </c>
      <c r="B31" s="2">
        <v>21</v>
      </c>
      <c r="C31" s="2">
        <v>6</v>
      </c>
      <c r="D31" s="2">
        <v>14.49</v>
      </c>
      <c r="E31" s="2">
        <v>3</v>
      </c>
      <c r="F31" s="2">
        <v>17.55</v>
      </c>
      <c r="G31" s="2">
        <v>0</v>
      </c>
      <c r="H31" s="2">
        <v>0</v>
      </c>
      <c r="I31" s="2">
        <v>0</v>
      </c>
      <c r="J31" s="2">
        <v>0</v>
      </c>
      <c r="K31" s="3">
        <v>2177413.2999999998</v>
      </c>
      <c r="L31" s="3">
        <v>0</v>
      </c>
      <c r="M31" s="3">
        <v>0</v>
      </c>
    </row>
    <row r="32" spans="1:13" x14ac:dyDescent="0.25">
      <c r="A32" s="1">
        <v>2009</v>
      </c>
      <c r="B32" s="2">
        <v>18</v>
      </c>
      <c r="C32" s="2">
        <v>6</v>
      </c>
      <c r="D32" s="2">
        <v>15.64</v>
      </c>
      <c r="E32" s="2">
        <v>4</v>
      </c>
      <c r="F32" s="2">
        <v>17.920000000000002</v>
      </c>
      <c r="G32" s="2">
        <v>1</v>
      </c>
      <c r="H32" s="2">
        <v>23.08</v>
      </c>
      <c r="I32" s="2">
        <v>0</v>
      </c>
      <c r="J32" s="2">
        <v>0</v>
      </c>
      <c r="K32" s="3">
        <v>0</v>
      </c>
      <c r="L32" s="3">
        <v>0</v>
      </c>
      <c r="M32" s="3">
        <v>0</v>
      </c>
    </row>
    <row r="33" spans="1:13" x14ac:dyDescent="0.25">
      <c r="A33" s="1">
        <v>2010</v>
      </c>
      <c r="B33" s="2">
        <v>11</v>
      </c>
      <c r="C33" s="2">
        <v>6</v>
      </c>
      <c r="D33" s="2">
        <v>16.73</v>
      </c>
      <c r="E33" s="2">
        <v>4</v>
      </c>
      <c r="F33" s="2">
        <v>18.47</v>
      </c>
      <c r="G33" s="2">
        <v>0</v>
      </c>
      <c r="H33" s="2">
        <v>0</v>
      </c>
      <c r="I33" s="2">
        <v>0</v>
      </c>
      <c r="J33" s="2">
        <v>0</v>
      </c>
      <c r="K33" s="3">
        <v>0</v>
      </c>
      <c r="L33" s="3">
        <v>0</v>
      </c>
      <c r="M33" s="3">
        <v>0</v>
      </c>
    </row>
    <row r="34" spans="1:13" x14ac:dyDescent="0.25">
      <c r="A34" s="1">
        <v>2011</v>
      </c>
      <c r="B34" s="2">
        <v>10</v>
      </c>
      <c r="C34" s="2">
        <v>2</v>
      </c>
      <c r="D34" s="2">
        <v>17.649999999999999</v>
      </c>
      <c r="E34" s="2">
        <v>2</v>
      </c>
      <c r="F34" s="2">
        <v>17.649999999999999</v>
      </c>
      <c r="G34" s="2">
        <v>0</v>
      </c>
      <c r="H34" s="2">
        <v>0</v>
      </c>
      <c r="I34" s="2">
        <v>0</v>
      </c>
      <c r="J34" s="2">
        <v>0</v>
      </c>
      <c r="K34" s="3">
        <v>4849096.5999999996</v>
      </c>
      <c r="L34" s="3">
        <v>0</v>
      </c>
      <c r="M34" s="3">
        <v>0</v>
      </c>
    </row>
    <row r="35" spans="1:13" x14ac:dyDescent="0.25">
      <c r="A35" s="1">
        <v>2012</v>
      </c>
      <c r="B35" s="2">
        <v>12</v>
      </c>
      <c r="C35" s="2">
        <v>5</v>
      </c>
      <c r="D35" s="2">
        <v>14.32</v>
      </c>
      <c r="E35" s="2">
        <v>2</v>
      </c>
      <c r="F35" s="2">
        <v>18.43</v>
      </c>
      <c r="G35" s="2">
        <v>0</v>
      </c>
      <c r="H35" s="2">
        <v>0</v>
      </c>
      <c r="I35" s="2">
        <v>0</v>
      </c>
      <c r="J35" s="2">
        <v>0</v>
      </c>
      <c r="K35" s="3">
        <v>7138637.5</v>
      </c>
      <c r="L35" s="3">
        <v>0</v>
      </c>
      <c r="M35" s="3">
        <v>0</v>
      </c>
    </row>
    <row r="36" spans="1:13" x14ac:dyDescent="0.25">
      <c r="A36" s="1">
        <v>2013</v>
      </c>
      <c r="B36" s="2">
        <v>12</v>
      </c>
      <c r="C36" s="2">
        <v>3</v>
      </c>
      <c r="D36" s="2">
        <v>16.739999999999998</v>
      </c>
      <c r="E36" s="2">
        <v>2</v>
      </c>
      <c r="F36" s="2">
        <v>17.440000000000001</v>
      </c>
      <c r="G36" s="2">
        <v>0</v>
      </c>
      <c r="H36" s="2">
        <v>0</v>
      </c>
      <c r="I36" s="2">
        <v>0</v>
      </c>
      <c r="J36" s="2">
        <v>0</v>
      </c>
      <c r="K36" s="3">
        <v>0</v>
      </c>
      <c r="L36" s="3">
        <v>0</v>
      </c>
      <c r="M36" s="3">
        <v>0</v>
      </c>
    </row>
    <row r="37" spans="1:13" x14ac:dyDescent="0.25">
      <c r="A37" s="1">
        <v>2014</v>
      </c>
      <c r="B37" s="2">
        <v>16</v>
      </c>
      <c r="C37" s="2">
        <v>2</v>
      </c>
      <c r="D37" s="2">
        <v>17.579999999999998</v>
      </c>
      <c r="E37" s="2">
        <v>2</v>
      </c>
      <c r="F37" s="2">
        <v>17.579999999999998</v>
      </c>
      <c r="G37" s="2">
        <v>0</v>
      </c>
      <c r="H37" s="2">
        <v>0</v>
      </c>
      <c r="I37" s="2">
        <v>0</v>
      </c>
      <c r="J37" s="2">
        <v>0</v>
      </c>
      <c r="K37" s="3">
        <v>0</v>
      </c>
      <c r="L37" s="3">
        <v>0</v>
      </c>
      <c r="M37" s="3">
        <v>0</v>
      </c>
    </row>
    <row r="38" spans="1:13" x14ac:dyDescent="0.25">
      <c r="A38" s="1">
        <v>2015</v>
      </c>
      <c r="B38" s="2">
        <v>12</v>
      </c>
      <c r="C38" s="2">
        <v>1</v>
      </c>
      <c r="D38" s="2">
        <v>19.64</v>
      </c>
      <c r="E38" s="2">
        <v>1</v>
      </c>
      <c r="F38" s="2">
        <v>19.64</v>
      </c>
      <c r="G38" s="2">
        <v>0</v>
      </c>
      <c r="H38" s="2">
        <v>0</v>
      </c>
      <c r="I38" s="2">
        <v>0</v>
      </c>
      <c r="J38" s="2">
        <v>0</v>
      </c>
      <c r="K38" s="3">
        <v>0</v>
      </c>
      <c r="L38" s="3">
        <v>0</v>
      </c>
      <c r="M38" s="3">
        <v>0</v>
      </c>
    </row>
    <row r="39" spans="1:13" x14ac:dyDescent="0.25">
      <c r="A39" s="1">
        <v>2016</v>
      </c>
      <c r="B39" s="2">
        <v>15</v>
      </c>
      <c r="C39" s="2">
        <v>5</v>
      </c>
      <c r="D39" s="2">
        <v>15.03</v>
      </c>
      <c r="E39" s="2">
        <v>2</v>
      </c>
      <c r="F39" s="2">
        <v>18.399999999999999</v>
      </c>
      <c r="G39" s="2">
        <v>1</v>
      </c>
      <c r="H39" s="2">
        <v>20.45</v>
      </c>
      <c r="I39" s="2">
        <v>0</v>
      </c>
      <c r="J39" s="2">
        <v>0</v>
      </c>
      <c r="K39" s="3">
        <v>0</v>
      </c>
      <c r="L39" s="3">
        <v>0</v>
      </c>
      <c r="M39" s="3">
        <v>0</v>
      </c>
    </row>
    <row r="40" spans="1:13" x14ac:dyDescent="0.25">
      <c r="A40" s="1">
        <v>2017</v>
      </c>
      <c r="B40" s="2">
        <v>18</v>
      </c>
      <c r="C40" s="2">
        <v>5</v>
      </c>
      <c r="D40" s="2">
        <v>15.81</v>
      </c>
      <c r="E40" s="2">
        <v>2</v>
      </c>
      <c r="F40" s="2">
        <v>21.48</v>
      </c>
      <c r="G40" s="2">
        <v>2</v>
      </c>
      <c r="H40" s="2">
        <v>21.48</v>
      </c>
      <c r="I40" s="2">
        <v>0</v>
      </c>
      <c r="J40" s="2">
        <v>0</v>
      </c>
      <c r="K40" s="3">
        <v>12455079.5</v>
      </c>
      <c r="L40" s="3">
        <v>0</v>
      </c>
      <c r="M40" s="3">
        <v>0</v>
      </c>
    </row>
    <row r="41" spans="1:13" x14ac:dyDescent="0.25">
      <c r="A41" s="1">
        <v>2018</v>
      </c>
      <c r="B41" s="2">
        <v>16</v>
      </c>
      <c r="C41" s="2">
        <v>4</v>
      </c>
      <c r="D41" s="2">
        <v>17.760000000000002</v>
      </c>
      <c r="E41" s="2">
        <v>3</v>
      </c>
      <c r="F41" s="2">
        <v>19.899999999999999</v>
      </c>
      <c r="G41" s="2">
        <v>1</v>
      </c>
      <c r="H41" s="2">
        <v>24.27</v>
      </c>
      <c r="I41" s="2">
        <v>0</v>
      </c>
      <c r="J41" s="2">
        <v>0</v>
      </c>
      <c r="K41" s="3">
        <v>0</v>
      </c>
      <c r="L41" s="3">
        <v>0</v>
      </c>
      <c r="M41" s="3">
        <v>0</v>
      </c>
    </row>
    <row r="42" spans="1:13" x14ac:dyDescent="0.25">
      <c r="A42" s="1">
        <v>2019</v>
      </c>
      <c r="B42" s="2">
        <v>12</v>
      </c>
      <c r="C42" s="2">
        <v>8</v>
      </c>
      <c r="D42" s="2">
        <v>17.510000000000002</v>
      </c>
      <c r="E42" s="2">
        <v>6</v>
      </c>
      <c r="F42" s="2">
        <v>18.71</v>
      </c>
      <c r="G42" s="2">
        <v>2</v>
      </c>
      <c r="H42" s="2">
        <v>22.09</v>
      </c>
      <c r="I42" s="2">
        <v>0</v>
      </c>
      <c r="J42" s="2">
        <v>0</v>
      </c>
      <c r="K42" s="3">
        <v>0</v>
      </c>
      <c r="L42" s="3">
        <v>0</v>
      </c>
      <c r="M42" s="3">
        <v>0</v>
      </c>
    </row>
    <row r="43" spans="1:13" x14ac:dyDescent="0.25">
      <c r="A43" s="1">
        <v>2020</v>
      </c>
      <c r="B43" s="2">
        <v>16</v>
      </c>
      <c r="C43" s="2">
        <v>1</v>
      </c>
      <c r="D43" s="2">
        <v>13.58</v>
      </c>
      <c r="E43" s="2">
        <v>0</v>
      </c>
      <c r="F43" s="2">
        <v>0</v>
      </c>
      <c r="G43" s="2">
        <v>0</v>
      </c>
      <c r="H43" s="2">
        <v>0</v>
      </c>
      <c r="I43" s="2">
        <v>0</v>
      </c>
      <c r="J43" s="2">
        <v>0</v>
      </c>
      <c r="K43" s="3">
        <v>0</v>
      </c>
      <c r="L43" s="3">
        <v>0</v>
      </c>
      <c r="M43" s="3">
        <v>0</v>
      </c>
    </row>
    <row r="44" spans="1:13" x14ac:dyDescent="0.25">
      <c r="A44" s="4" t="s">
        <v>0</v>
      </c>
      <c r="B44" s="5">
        <f xml:space="preserve"> AVERAGEIF(B2:B43,"&gt;0")</f>
        <v>13.785714285714286</v>
      </c>
      <c r="C44" s="5">
        <f t="shared" ref="C44:K44" si="0" xml:space="preserve"> AVERAGEIF(C2:C43,"&gt;0")</f>
        <v>4.5</v>
      </c>
      <c r="D44" s="5">
        <f t="shared" si="0"/>
        <v>16.24285714285714</v>
      </c>
      <c r="E44" s="5">
        <f t="shared" si="0"/>
        <v>2.8250000000000002</v>
      </c>
      <c r="F44" s="5">
        <f t="shared" si="0"/>
        <v>18.936749999999996</v>
      </c>
      <c r="G44" s="5">
        <f t="shared" si="0"/>
        <v>1.35</v>
      </c>
      <c r="H44" s="5">
        <f t="shared" si="0"/>
        <v>22.354999999999997</v>
      </c>
      <c r="I44" s="5">
        <f t="shared" si="0"/>
        <v>1</v>
      </c>
      <c r="J44" s="5">
        <f t="shared" si="0"/>
        <v>25.833333333333332</v>
      </c>
      <c r="K44" s="6">
        <f t="shared" si="0"/>
        <v>8732175.3545454554</v>
      </c>
      <c r="L44" s="6">
        <f>IF(SUM(L2:L43)=0,0,AVERAGEIF(L2:L43,"&gt;0"))</f>
        <v>0</v>
      </c>
      <c r="M44" s="6">
        <f>IF(SUM(M2:M43)=0,0,AVERAGEIF(M2:M43,"&gt;0"))</f>
        <v>0</v>
      </c>
    </row>
    <row r="45" spans="1:13" x14ac:dyDescent="0.25">
      <c r="A45" s="4" t="s">
        <v>1</v>
      </c>
      <c r="B45" s="5">
        <f>SUM(B2:B43)</f>
        <v>579</v>
      </c>
      <c r="C45" s="5">
        <f>SUM(C2:C43)</f>
        <v>189</v>
      </c>
      <c r="D45" s="5"/>
      <c r="E45" s="5">
        <f>SUM(E2:E43)</f>
        <v>113</v>
      </c>
      <c r="F45" s="5"/>
      <c r="G45" s="5">
        <f>SUM(G2:G43)</f>
        <v>27</v>
      </c>
      <c r="H45" s="5"/>
      <c r="I45" s="5">
        <f>SUM(I2:I43)</f>
        <v>3</v>
      </c>
      <c r="J45" s="5"/>
      <c r="K45" s="5"/>
      <c r="L45" s="5"/>
      <c r="M45" s="5"/>
    </row>
    <row r="49" spans="2:7" x14ac:dyDescent="0.25">
      <c r="B49" s="7" t="s">
        <v>3</v>
      </c>
      <c r="C49" s="7"/>
      <c r="D49" s="7"/>
      <c r="E49" s="7"/>
      <c r="F49" s="7"/>
      <c r="G49" s="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16</v>
      </c>
      <c r="C2" s="2">
        <v>5</v>
      </c>
      <c r="D2" s="2">
        <v>16.63</v>
      </c>
      <c r="E2" s="2">
        <v>2</v>
      </c>
      <c r="F2" s="2">
        <v>19.809999999999999</v>
      </c>
      <c r="G2" s="2">
        <v>1</v>
      </c>
      <c r="H2" s="2">
        <v>22.33</v>
      </c>
      <c r="I2" s="2">
        <v>0</v>
      </c>
      <c r="J2" s="2">
        <v>0</v>
      </c>
      <c r="K2" s="3">
        <v>2910703.9</v>
      </c>
      <c r="L2" s="3">
        <v>0</v>
      </c>
      <c r="M2" s="3">
        <v>0</v>
      </c>
    </row>
    <row r="3" spans="1:13" x14ac:dyDescent="0.25">
      <c r="A3" s="1">
        <v>1980</v>
      </c>
      <c r="B3" s="2">
        <v>8</v>
      </c>
      <c r="C3" s="2">
        <v>4</v>
      </c>
      <c r="D3" s="2">
        <v>17.64</v>
      </c>
      <c r="E3" s="2">
        <v>3</v>
      </c>
      <c r="F3" s="2">
        <v>18.82</v>
      </c>
      <c r="G3" s="2">
        <v>1</v>
      </c>
      <c r="H3" s="2">
        <v>20.65</v>
      </c>
      <c r="I3" s="2">
        <v>0</v>
      </c>
      <c r="J3" s="2">
        <v>0</v>
      </c>
      <c r="K3" s="3">
        <v>16010024.6</v>
      </c>
      <c r="L3" s="3">
        <v>0</v>
      </c>
      <c r="M3" s="3">
        <v>0</v>
      </c>
    </row>
    <row r="4" spans="1:13" x14ac:dyDescent="0.25">
      <c r="A4" s="1">
        <v>1981</v>
      </c>
      <c r="B4" s="2">
        <v>16</v>
      </c>
      <c r="C4" s="2">
        <v>3</v>
      </c>
      <c r="D4" s="2">
        <v>16.190000000000001</v>
      </c>
      <c r="E4" s="2">
        <v>2</v>
      </c>
      <c r="F4" s="2">
        <v>18.920000000000002</v>
      </c>
      <c r="G4" s="2">
        <v>0</v>
      </c>
      <c r="H4" s="2">
        <v>0</v>
      </c>
      <c r="I4" s="2">
        <v>0</v>
      </c>
      <c r="J4" s="2">
        <v>0</v>
      </c>
      <c r="K4" s="3">
        <v>2533683.2000000002</v>
      </c>
      <c r="L4" s="3">
        <v>0</v>
      </c>
      <c r="M4" s="3">
        <v>0</v>
      </c>
    </row>
    <row r="5" spans="1:13" x14ac:dyDescent="0.25">
      <c r="A5" s="1">
        <v>1982</v>
      </c>
      <c r="B5" s="2">
        <v>6</v>
      </c>
      <c r="C5" s="2">
        <v>5</v>
      </c>
      <c r="D5" s="2">
        <v>18.96</v>
      </c>
      <c r="E5" s="2">
        <v>5</v>
      </c>
      <c r="F5" s="2">
        <v>18.96</v>
      </c>
      <c r="G5" s="2">
        <v>2</v>
      </c>
      <c r="H5" s="2">
        <v>21.91</v>
      </c>
      <c r="I5" s="2">
        <v>0</v>
      </c>
      <c r="J5" s="2">
        <v>0</v>
      </c>
      <c r="K5" s="3">
        <v>11544390.1</v>
      </c>
      <c r="L5" s="3">
        <v>0</v>
      </c>
      <c r="M5" s="3">
        <v>0</v>
      </c>
    </row>
    <row r="6" spans="1:13" x14ac:dyDescent="0.25">
      <c r="A6" s="1">
        <v>1983</v>
      </c>
      <c r="B6" s="2">
        <v>8</v>
      </c>
      <c r="C6" s="2">
        <v>5</v>
      </c>
      <c r="D6" s="2">
        <v>20.28</v>
      </c>
      <c r="E6" s="2">
        <v>4</v>
      </c>
      <c r="F6" s="2">
        <v>21.81</v>
      </c>
      <c r="G6" s="2">
        <v>3</v>
      </c>
      <c r="H6" s="2">
        <v>23.02</v>
      </c>
      <c r="I6" s="2">
        <v>0</v>
      </c>
      <c r="J6" s="2">
        <v>0</v>
      </c>
      <c r="K6" s="3">
        <v>75891164.599999994</v>
      </c>
      <c r="L6" s="3">
        <v>21965400.199999999</v>
      </c>
      <c r="M6" s="3">
        <v>0</v>
      </c>
    </row>
    <row r="7" spans="1:13" x14ac:dyDescent="0.25">
      <c r="A7" s="1">
        <v>1984</v>
      </c>
      <c r="B7" s="2">
        <v>9</v>
      </c>
      <c r="C7" s="2">
        <v>3</v>
      </c>
      <c r="D7" s="2">
        <v>16.190000000000001</v>
      </c>
      <c r="E7" s="2">
        <v>2</v>
      </c>
      <c r="F7" s="2">
        <v>18.11</v>
      </c>
      <c r="G7" s="2">
        <v>1</v>
      </c>
      <c r="H7" s="2">
        <v>20</v>
      </c>
      <c r="I7" s="2">
        <v>0</v>
      </c>
      <c r="J7" s="2">
        <v>0</v>
      </c>
      <c r="K7" s="3">
        <v>2714520.1</v>
      </c>
      <c r="L7" s="3">
        <v>0</v>
      </c>
      <c r="M7" s="3">
        <v>0</v>
      </c>
    </row>
    <row r="8" spans="1:13" x14ac:dyDescent="0.25">
      <c r="A8" s="1">
        <v>1985</v>
      </c>
      <c r="B8" s="2">
        <v>8</v>
      </c>
      <c r="C8" s="2">
        <v>4</v>
      </c>
      <c r="D8" s="2">
        <v>17.329999999999998</v>
      </c>
      <c r="E8" s="2">
        <v>3</v>
      </c>
      <c r="F8" s="2">
        <v>18.8</v>
      </c>
      <c r="G8" s="2">
        <v>1</v>
      </c>
      <c r="H8" s="2">
        <v>21.69</v>
      </c>
      <c r="I8" s="2">
        <v>0</v>
      </c>
      <c r="J8" s="2">
        <v>0</v>
      </c>
      <c r="K8" s="3">
        <v>20158767.5</v>
      </c>
      <c r="L8" s="3">
        <v>5429275.4000000004</v>
      </c>
      <c r="M8" s="3">
        <v>0</v>
      </c>
    </row>
    <row r="9" spans="1:13" x14ac:dyDescent="0.25">
      <c r="A9" s="1">
        <v>1986</v>
      </c>
      <c r="B9" s="2">
        <v>9</v>
      </c>
      <c r="C9" s="2">
        <v>6</v>
      </c>
      <c r="D9" s="2">
        <v>18.95</v>
      </c>
      <c r="E9" s="2">
        <v>5</v>
      </c>
      <c r="F9" s="2">
        <v>20.350000000000001</v>
      </c>
      <c r="G9" s="2">
        <v>2</v>
      </c>
      <c r="H9" s="2">
        <v>22.73</v>
      </c>
      <c r="I9" s="2">
        <v>0</v>
      </c>
      <c r="J9" s="2">
        <v>0</v>
      </c>
      <c r="K9" s="3">
        <v>9926229.0999999996</v>
      </c>
      <c r="L9" s="3">
        <v>5498725.0999999996</v>
      </c>
      <c r="M9" s="3">
        <v>0</v>
      </c>
    </row>
    <row r="10" spans="1:13" x14ac:dyDescent="0.25">
      <c r="A10" s="1">
        <v>1987</v>
      </c>
      <c r="B10" s="2">
        <v>5</v>
      </c>
      <c r="C10" s="2">
        <v>3</v>
      </c>
      <c r="D10" s="2">
        <v>18.41</v>
      </c>
      <c r="E10" s="2">
        <v>2</v>
      </c>
      <c r="F10" s="2">
        <v>21.29</v>
      </c>
      <c r="G10" s="2">
        <v>1</v>
      </c>
      <c r="H10" s="2">
        <v>23.37</v>
      </c>
      <c r="I10" s="2">
        <v>0</v>
      </c>
      <c r="J10" s="2">
        <v>0</v>
      </c>
      <c r="K10" s="3">
        <v>0</v>
      </c>
      <c r="L10" s="3">
        <v>0</v>
      </c>
      <c r="M10" s="3">
        <v>0</v>
      </c>
    </row>
    <row r="11" spans="1:13" x14ac:dyDescent="0.25">
      <c r="A11" s="1">
        <v>1988</v>
      </c>
      <c r="B11" s="2">
        <v>3</v>
      </c>
      <c r="C11" s="2">
        <v>3</v>
      </c>
      <c r="D11" s="2">
        <v>19.190000000000001</v>
      </c>
      <c r="E11" s="2">
        <v>2</v>
      </c>
      <c r="F11" s="2">
        <v>22.18</v>
      </c>
      <c r="G11" s="2">
        <v>2</v>
      </c>
      <c r="H11" s="2">
        <v>22.18</v>
      </c>
      <c r="I11" s="2">
        <v>0</v>
      </c>
      <c r="J11" s="2">
        <v>0</v>
      </c>
      <c r="K11" s="3">
        <v>2969831.9</v>
      </c>
      <c r="L11" s="3">
        <v>0</v>
      </c>
      <c r="M11" s="3">
        <v>0</v>
      </c>
    </row>
    <row r="12" spans="1:13" x14ac:dyDescent="0.25">
      <c r="A12" s="1">
        <v>1989</v>
      </c>
      <c r="B12" s="2">
        <v>3</v>
      </c>
      <c r="C12" s="2">
        <v>2</v>
      </c>
      <c r="D12" s="2">
        <v>26.48</v>
      </c>
      <c r="E12" s="2">
        <v>2</v>
      </c>
      <c r="F12" s="2">
        <v>26.48</v>
      </c>
      <c r="G12" s="2">
        <v>2</v>
      </c>
      <c r="H12" s="2">
        <v>26.48</v>
      </c>
      <c r="I12" s="2">
        <v>2</v>
      </c>
      <c r="J12" s="2">
        <v>26.48</v>
      </c>
      <c r="K12" s="3">
        <v>129633843</v>
      </c>
      <c r="L12" s="3">
        <v>87071490.599999994</v>
      </c>
      <c r="M12" s="3">
        <v>9490385.8000000007</v>
      </c>
    </row>
    <row r="13" spans="1:13" x14ac:dyDescent="0.25">
      <c r="A13" s="1">
        <v>1990</v>
      </c>
      <c r="B13" s="2">
        <v>5</v>
      </c>
      <c r="C13" s="2">
        <v>5</v>
      </c>
      <c r="D13" s="2">
        <v>17.95</v>
      </c>
      <c r="E13" s="2">
        <v>3</v>
      </c>
      <c r="F13" s="2">
        <v>21.11</v>
      </c>
      <c r="G13" s="2">
        <v>1</v>
      </c>
      <c r="H13" s="2">
        <v>24.87</v>
      </c>
      <c r="I13" s="2">
        <v>0</v>
      </c>
      <c r="J13" s="2">
        <v>0</v>
      </c>
      <c r="K13" s="3">
        <v>11507772.9</v>
      </c>
      <c r="L13" s="3">
        <v>0</v>
      </c>
      <c r="M13" s="3">
        <v>0</v>
      </c>
    </row>
    <row r="14" spans="1:13" x14ac:dyDescent="0.25">
      <c r="A14" s="1">
        <v>1991</v>
      </c>
      <c r="B14" s="2">
        <v>3</v>
      </c>
      <c r="C14" s="2">
        <v>4</v>
      </c>
      <c r="D14" s="2">
        <v>15.51</v>
      </c>
      <c r="E14" s="2">
        <v>3</v>
      </c>
      <c r="F14" s="2">
        <v>16.43</v>
      </c>
      <c r="G14" s="2">
        <v>0</v>
      </c>
      <c r="H14" s="2">
        <v>0</v>
      </c>
      <c r="I14" s="2">
        <v>0</v>
      </c>
      <c r="J14" s="2">
        <v>0</v>
      </c>
      <c r="K14" s="3">
        <v>0</v>
      </c>
      <c r="L14" s="3">
        <v>0</v>
      </c>
      <c r="M14" s="3">
        <v>0</v>
      </c>
    </row>
    <row r="15" spans="1:13" x14ac:dyDescent="0.25">
      <c r="A15" s="1">
        <v>1992</v>
      </c>
      <c r="B15" s="2">
        <v>5</v>
      </c>
      <c r="C15" s="2">
        <v>2</v>
      </c>
      <c r="D15" s="2">
        <v>20.84</v>
      </c>
      <c r="E15" s="2">
        <v>2</v>
      </c>
      <c r="F15" s="2">
        <v>20.84</v>
      </c>
      <c r="G15" s="2">
        <v>2</v>
      </c>
      <c r="H15" s="2">
        <v>20.84</v>
      </c>
      <c r="I15" s="2">
        <v>0</v>
      </c>
      <c r="J15" s="2">
        <v>0</v>
      </c>
      <c r="K15" s="3">
        <v>15564161.199999999</v>
      </c>
      <c r="L15" s="3">
        <v>0</v>
      </c>
      <c r="M15" s="3">
        <v>0</v>
      </c>
    </row>
    <row r="16" spans="1:13" x14ac:dyDescent="0.25">
      <c r="A16" s="1">
        <v>1993</v>
      </c>
      <c r="B16" s="2">
        <v>6</v>
      </c>
      <c r="C16" s="2">
        <v>6</v>
      </c>
      <c r="D16" s="2">
        <v>16.920000000000002</v>
      </c>
      <c r="E16" s="2">
        <v>3</v>
      </c>
      <c r="F16" s="2">
        <v>20.21</v>
      </c>
      <c r="G16" s="2">
        <v>1</v>
      </c>
      <c r="H16" s="2">
        <v>27.08</v>
      </c>
      <c r="I16" s="2">
        <v>1</v>
      </c>
      <c r="J16" s="2">
        <v>27.08</v>
      </c>
      <c r="K16" s="3">
        <v>36182204.100000001</v>
      </c>
      <c r="L16" s="3">
        <v>5480807.2000000002</v>
      </c>
      <c r="M16" s="3">
        <v>0</v>
      </c>
    </row>
    <row r="17" spans="1:13" x14ac:dyDescent="0.25">
      <c r="A17" s="1">
        <v>1994</v>
      </c>
      <c r="B17" s="2">
        <v>6</v>
      </c>
      <c r="C17" s="2">
        <v>6</v>
      </c>
      <c r="D17" s="2">
        <v>19.989999999999998</v>
      </c>
      <c r="E17" s="2">
        <v>6</v>
      </c>
      <c r="F17" s="2">
        <v>19.989999999999998</v>
      </c>
      <c r="G17" s="2">
        <v>2</v>
      </c>
      <c r="H17" s="2">
        <v>21.96</v>
      </c>
      <c r="I17" s="2">
        <v>0</v>
      </c>
      <c r="J17" s="2">
        <v>0</v>
      </c>
      <c r="K17" s="3">
        <v>14310263.300000001</v>
      </c>
      <c r="L17" s="3">
        <v>5759353.9000000004</v>
      </c>
      <c r="M17" s="3">
        <v>0</v>
      </c>
    </row>
    <row r="18" spans="1:13" x14ac:dyDescent="0.25">
      <c r="A18" s="1">
        <v>1995</v>
      </c>
      <c r="B18" s="2">
        <v>7</v>
      </c>
      <c r="C18" s="2">
        <v>4</v>
      </c>
      <c r="D18" s="2">
        <v>19.059999999999999</v>
      </c>
      <c r="E18" s="2">
        <v>4</v>
      </c>
      <c r="F18" s="2">
        <v>19.059999999999999</v>
      </c>
      <c r="G18" s="2">
        <v>1</v>
      </c>
      <c r="H18" s="2">
        <v>21.47</v>
      </c>
      <c r="I18" s="2">
        <v>0</v>
      </c>
      <c r="J18" s="2">
        <v>0</v>
      </c>
      <c r="K18" s="3">
        <v>0</v>
      </c>
      <c r="L18" s="3">
        <v>0</v>
      </c>
      <c r="M18" s="3">
        <v>0</v>
      </c>
    </row>
    <row r="19" spans="1:13" x14ac:dyDescent="0.25">
      <c r="A19" s="1">
        <v>1996</v>
      </c>
      <c r="B19" s="2">
        <v>8</v>
      </c>
      <c r="C19" s="2">
        <v>2</v>
      </c>
      <c r="D19" s="2">
        <v>14.89</v>
      </c>
      <c r="E19" s="2">
        <v>1</v>
      </c>
      <c r="F19" s="2">
        <v>17.37</v>
      </c>
      <c r="G19" s="2">
        <v>0</v>
      </c>
      <c r="H19" s="2">
        <v>0</v>
      </c>
      <c r="I19" s="2">
        <v>0</v>
      </c>
      <c r="J19" s="2">
        <v>0</v>
      </c>
      <c r="K19" s="3">
        <v>3083340.5</v>
      </c>
      <c r="L19" s="3">
        <v>0</v>
      </c>
      <c r="M19" s="3">
        <v>0</v>
      </c>
    </row>
    <row r="20" spans="1:13" x14ac:dyDescent="0.25">
      <c r="A20" s="1">
        <v>1997</v>
      </c>
      <c r="B20" s="2">
        <v>1</v>
      </c>
      <c r="C20" s="2">
        <v>6</v>
      </c>
      <c r="D20" s="2">
        <v>17.78</v>
      </c>
      <c r="E20" s="2">
        <v>5</v>
      </c>
      <c r="F20" s="2">
        <v>18.23</v>
      </c>
      <c r="G20" s="2">
        <v>1</v>
      </c>
      <c r="H20" s="2">
        <v>21.34</v>
      </c>
      <c r="I20" s="2">
        <v>0</v>
      </c>
      <c r="J20" s="2">
        <v>0</v>
      </c>
      <c r="K20" s="3">
        <v>6236238.2000000002</v>
      </c>
      <c r="L20" s="3">
        <v>0</v>
      </c>
      <c r="M20" s="3">
        <v>0</v>
      </c>
    </row>
    <row r="21" spans="1:13" x14ac:dyDescent="0.25">
      <c r="A21" s="1">
        <v>1998</v>
      </c>
      <c r="B21" s="2">
        <v>16</v>
      </c>
      <c r="C21" s="2">
        <v>4</v>
      </c>
      <c r="D21" s="2">
        <v>17.21</v>
      </c>
      <c r="E21" s="2">
        <v>4</v>
      </c>
      <c r="F21" s="2">
        <v>17.21</v>
      </c>
      <c r="G21" s="2">
        <v>0</v>
      </c>
      <c r="H21" s="2">
        <v>0</v>
      </c>
      <c r="I21" s="2">
        <v>0</v>
      </c>
      <c r="J21" s="2">
        <v>0</v>
      </c>
      <c r="K21" s="3">
        <v>3341311.2</v>
      </c>
      <c r="L21" s="3">
        <v>0</v>
      </c>
      <c r="M21" s="3">
        <v>0</v>
      </c>
    </row>
    <row r="22" spans="1:13" x14ac:dyDescent="0.25">
      <c r="A22" s="1">
        <v>1999</v>
      </c>
      <c r="B22" s="2">
        <v>5</v>
      </c>
      <c r="C22" s="2">
        <v>1</v>
      </c>
      <c r="D22" s="2">
        <v>15.84</v>
      </c>
      <c r="E22" s="2">
        <v>1</v>
      </c>
      <c r="F22" s="2">
        <v>15.84</v>
      </c>
      <c r="G22" s="2">
        <v>0</v>
      </c>
      <c r="H22" s="2">
        <v>0</v>
      </c>
      <c r="I22" s="2">
        <v>0</v>
      </c>
      <c r="J22" s="2">
        <v>0</v>
      </c>
      <c r="K22" s="3">
        <v>0</v>
      </c>
      <c r="L22" s="3">
        <v>0</v>
      </c>
      <c r="M22" s="3">
        <v>0</v>
      </c>
    </row>
    <row r="23" spans="1:13" x14ac:dyDescent="0.25">
      <c r="A23" s="1">
        <v>2000</v>
      </c>
      <c r="B23" s="2">
        <v>10</v>
      </c>
      <c r="C23" s="2">
        <v>4</v>
      </c>
      <c r="D23" s="2">
        <v>19.61</v>
      </c>
      <c r="E23" s="2">
        <v>4</v>
      </c>
      <c r="F23" s="2">
        <v>19.61</v>
      </c>
      <c r="G23" s="2">
        <v>2</v>
      </c>
      <c r="H23" s="2">
        <v>21.01</v>
      </c>
      <c r="I23" s="2">
        <v>0</v>
      </c>
      <c r="J23" s="2">
        <v>0</v>
      </c>
      <c r="K23" s="3">
        <v>0</v>
      </c>
      <c r="L23" s="3">
        <v>0</v>
      </c>
      <c r="M23" s="3">
        <v>0</v>
      </c>
    </row>
    <row r="24" spans="1:13" x14ac:dyDescent="0.25">
      <c r="A24" s="1">
        <v>2001</v>
      </c>
      <c r="B24" s="2">
        <v>6</v>
      </c>
      <c r="C24" s="2">
        <v>3</v>
      </c>
      <c r="D24" s="2">
        <v>19.399999999999999</v>
      </c>
      <c r="E24" s="2">
        <v>3</v>
      </c>
      <c r="F24" s="2">
        <v>19.399999999999999</v>
      </c>
      <c r="G24" s="2">
        <v>1</v>
      </c>
      <c r="H24" s="2">
        <v>21.08</v>
      </c>
      <c r="I24" s="2">
        <v>0</v>
      </c>
      <c r="J24" s="2">
        <v>0</v>
      </c>
      <c r="K24" s="3">
        <v>16448398.5</v>
      </c>
      <c r="L24" s="3">
        <v>0</v>
      </c>
      <c r="M24" s="3">
        <v>0</v>
      </c>
    </row>
    <row r="25" spans="1:13" x14ac:dyDescent="0.25">
      <c r="A25" s="1">
        <v>2002</v>
      </c>
      <c r="B25" s="2">
        <v>11</v>
      </c>
      <c r="C25" s="2">
        <v>4</v>
      </c>
      <c r="D25" s="2">
        <v>13.85</v>
      </c>
      <c r="E25" s="2">
        <v>1</v>
      </c>
      <c r="F25" s="2">
        <v>17.329999999999998</v>
      </c>
      <c r="G25" s="2">
        <v>0</v>
      </c>
      <c r="H25" s="2">
        <v>0</v>
      </c>
      <c r="I25" s="2">
        <v>0</v>
      </c>
      <c r="J25" s="2">
        <v>0</v>
      </c>
      <c r="K25" s="3">
        <v>0</v>
      </c>
      <c r="L25" s="3">
        <v>0</v>
      </c>
      <c r="M25" s="3">
        <v>0</v>
      </c>
    </row>
    <row r="26" spans="1:13" x14ac:dyDescent="0.25">
      <c r="A26" s="1">
        <v>2003</v>
      </c>
      <c r="B26" s="2">
        <v>5</v>
      </c>
      <c r="C26" s="2">
        <v>6</v>
      </c>
      <c r="D26" s="2">
        <v>15.33</v>
      </c>
      <c r="E26" s="2">
        <v>2</v>
      </c>
      <c r="F26" s="2">
        <v>19.940000000000001</v>
      </c>
      <c r="G26" s="2">
        <v>1</v>
      </c>
      <c r="H26" s="2">
        <v>21.75</v>
      </c>
      <c r="I26" s="2">
        <v>0</v>
      </c>
      <c r="J26" s="2">
        <v>0</v>
      </c>
      <c r="K26" s="3">
        <v>7605467.0999999996</v>
      </c>
      <c r="L26" s="3">
        <v>0</v>
      </c>
      <c r="M26" s="3">
        <v>0</v>
      </c>
    </row>
    <row r="27" spans="1:13" x14ac:dyDescent="0.25">
      <c r="A27" s="1">
        <v>2004</v>
      </c>
      <c r="B27" s="2">
        <v>2</v>
      </c>
      <c r="C27" s="2">
        <v>1</v>
      </c>
      <c r="D27" s="2">
        <v>13.89</v>
      </c>
      <c r="E27" s="2">
        <v>0</v>
      </c>
      <c r="F27" s="2">
        <v>0</v>
      </c>
      <c r="G27" s="2">
        <v>0</v>
      </c>
      <c r="H27" s="2">
        <v>0</v>
      </c>
      <c r="I27" s="2">
        <v>0</v>
      </c>
      <c r="J27" s="2">
        <v>0</v>
      </c>
      <c r="K27" s="3">
        <v>0</v>
      </c>
      <c r="L27" s="3">
        <v>0</v>
      </c>
      <c r="M27" s="3">
        <v>0</v>
      </c>
    </row>
    <row r="28" spans="1:13" x14ac:dyDescent="0.25">
      <c r="A28" s="1">
        <v>2005</v>
      </c>
      <c r="B28" s="2">
        <v>7</v>
      </c>
      <c r="C28" s="2">
        <v>3</v>
      </c>
      <c r="D28" s="2">
        <v>15.8</v>
      </c>
      <c r="E28" s="2">
        <v>2</v>
      </c>
      <c r="F28" s="2">
        <v>16.46</v>
      </c>
      <c r="G28" s="2">
        <v>0</v>
      </c>
      <c r="H28" s="2">
        <v>0</v>
      </c>
      <c r="I28" s="2">
        <v>0</v>
      </c>
      <c r="J28" s="2">
        <v>0</v>
      </c>
      <c r="K28" s="3">
        <v>0</v>
      </c>
      <c r="L28" s="3">
        <v>0</v>
      </c>
      <c r="M28" s="3">
        <v>0</v>
      </c>
    </row>
    <row r="29" spans="1:13" x14ac:dyDescent="0.25">
      <c r="A29" s="1">
        <v>2006</v>
      </c>
      <c r="B29" s="2">
        <v>8</v>
      </c>
      <c r="C29" s="2">
        <v>3</v>
      </c>
      <c r="D29" s="2">
        <v>19.66</v>
      </c>
      <c r="E29" s="2">
        <v>3</v>
      </c>
      <c r="F29" s="2">
        <v>19.66</v>
      </c>
      <c r="G29" s="2">
        <v>2</v>
      </c>
      <c r="H29" s="2">
        <v>20.95</v>
      </c>
      <c r="I29" s="2">
        <v>0</v>
      </c>
      <c r="J29" s="2">
        <v>0</v>
      </c>
      <c r="K29" s="3">
        <v>3458045.1</v>
      </c>
      <c r="L29" s="3">
        <v>0</v>
      </c>
      <c r="M29" s="3">
        <v>0</v>
      </c>
    </row>
    <row r="30" spans="1:13" x14ac:dyDescent="0.25">
      <c r="A30" s="1">
        <v>2007</v>
      </c>
      <c r="B30" s="2">
        <v>4</v>
      </c>
      <c r="C30" s="2">
        <v>1</v>
      </c>
      <c r="D30" s="2">
        <v>16.59</v>
      </c>
      <c r="E30" s="2">
        <v>1</v>
      </c>
      <c r="F30" s="2">
        <v>16.59</v>
      </c>
      <c r="G30" s="2">
        <v>0</v>
      </c>
      <c r="H30" s="2">
        <v>0</v>
      </c>
      <c r="I30" s="2">
        <v>0</v>
      </c>
      <c r="J30" s="2">
        <v>0</v>
      </c>
      <c r="K30" s="3">
        <v>0</v>
      </c>
      <c r="L30" s="3">
        <v>0</v>
      </c>
      <c r="M30" s="3">
        <v>0</v>
      </c>
    </row>
    <row r="31" spans="1:13" x14ac:dyDescent="0.25">
      <c r="A31" s="1">
        <v>2008</v>
      </c>
      <c r="B31" s="2">
        <v>11</v>
      </c>
      <c r="C31" s="2">
        <v>3</v>
      </c>
      <c r="D31" s="2">
        <v>16.98</v>
      </c>
      <c r="E31" s="2">
        <v>2</v>
      </c>
      <c r="F31" s="2">
        <v>18.170000000000002</v>
      </c>
      <c r="G31" s="2">
        <v>1</v>
      </c>
      <c r="H31" s="2">
        <v>20.36</v>
      </c>
      <c r="I31" s="2">
        <v>0</v>
      </c>
      <c r="J31" s="2">
        <v>0</v>
      </c>
      <c r="K31" s="3">
        <v>2299270.2000000002</v>
      </c>
      <c r="L31" s="3">
        <v>0</v>
      </c>
      <c r="M31" s="3">
        <v>0</v>
      </c>
    </row>
    <row r="32" spans="1:13" x14ac:dyDescent="0.25">
      <c r="A32" s="1">
        <v>2009</v>
      </c>
      <c r="B32" s="2">
        <v>8</v>
      </c>
      <c r="C32" s="2">
        <v>2</v>
      </c>
      <c r="D32" s="2">
        <v>17.87</v>
      </c>
      <c r="E32" s="2">
        <v>1</v>
      </c>
      <c r="F32" s="2">
        <v>23.08</v>
      </c>
      <c r="G32" s="2">
        <v>1</v>
      </c>
      <c r="H32" s="2">
        <v>23.08</v>
      </c>
      <c r="I32" s="2">
        <v>0</v>
      </c>
      <c r="J32" s="2">
        <v>0</v>
      </c>
      <c r="K32" s="3">
        <v>2661615</v>
      </c>
      <c r="L32" s="3">
        <v>0</v>
      </c>
      <c r="M32" s="3">
        <v>0</v>
      </c>
    </row>
    <row r="33" spans="1:13" x14ac:dyDescent="0.25">
      <c r="A33" s="1">
        <v>2010</v>
      </c>
      <c r="B33" s="2">
        <v>5</v>
      </c>
      <c r="C33" s="2">
        <v>4</v>
      </c>
      <c r="D33" s="2">
        <v>17.239999999999998</v>
      </c>
      <c r="E33" s="2">
        <v>3</v>
      </c>
      <c r="F33" s="2">
        <v>18.350000000000001</v>
      </c>
      <c r="G33" s="2">
        <v>0</v>
      </c>
      <c r="H33" s="2">
        <v>0</v>
      </c>
      <c r="I33" s="2">
        <v>0</v>
      </c>
      <c r="J33" s="2">
        <v>0</v>
      </c>
      <c r="K33" s="3">
        <v>0</v>
      </c>
      <c r="L33" s="3">
        <v>0</v>
      </c>
      <c r="M33" s="3">
        <v>0</v>
      </c>
    </row>
    <row r="34" spans="1:13" x14ac:dyDescent="0.25">
      <c r="A34" s="1">
        <v>2011</v>
      </c>
      <c r="B34" s="2">
        <v>4</v>
      </c>
      <c r="C34" s="2">
        <v>3</v>
      </c>
      <c r="D34" s="2">
        <v>16.41</v>
      </c>
      <c r="E34" s="2">
        <v>1</v>
      </c>
      <c r="F34" s="2">
        <v>19.66</v>
      </c>
      <c r="G34" s="2">
        <v>0</v>
      </c>
      <c r="H34" s="2">
        <v>0</v>
      </c>
      <c r="I34" s="2">
        <v>0</v>
      </c>
      <c r="J34" s="2">
        <v>0</v>
      </c>
      <c r="K34" s="3">
        <v>0</v>
      </c>
      <c r="L34" s="3">
        <v>0</v>
      </c>
      <c r="M34" s="3">
        <v>0</v>
      </c>
    </row>
    <row r="35" spans="1:13" x14ac:dyDescent="0.25">
      <c r="A35" s="1">
        <v>2012</v>
      </c>
      <c r="B35" s="2">
        <v>9</v>
      </c>
      <c r="C35" s="2">
        <v>1</v>
      </c>
      <c r="D35" s="2">
        <v>21.82</v>
      </c>
      <c r="E35" s="2">
        <v>1</v>
      </c>
      <c r="F35" s="2">
        <v>21.82</v>
      </c>
      <c r="G35" s="2">
        <v>1</v>
      </c>
      <c r="H35" s="2">
        <v>21.82</v>
      </c>
      <c r="I35" s="2">
        <v>0</v>
      </c>
      <c r="J35" s="2">
        <v>0</v>
      </c>
      <c r="K35" s="3">
        <v>5282122.8</v>
      </c>
      <c r="L35" s="3">
        <v>0</v>
      </c>
      <c r="M35" s="3">
        <v>0</v>
      </c>
    </row>
    <row r="36" spans="1:13" x14ac:dyDescent="0.25">
      <c r="A36" s="1">
        <v>2013</v>
      </c>
      <c r="B36" s="2">
        <v>5</v>
      </c>
      <c r="C36" s="2">
        <v>4</v>
      </c>
      <c r="D36" s="2">
        <v>16.48</v>
      </c>
      <c r="E36" s="2">
        <v>3</v>
      </c>
      <c r="F36" s="2">
        <v>18.100000000000001</v>
      </c>
      <c r="G36" s="2">
        <v>0</v>
      </c>
      <c r="H36" s="2">
        <v>0</v>
      </c>
      <c r="I36" s="2">
        <v>0</v>
      </c>
      <c r="J36" s="2">
        <v>0</v>
      </c>
      <c r="K36" s="3">
        <v>2689137.3</v>
      </c>
      <c r="L36" s="3">
        <v>0</v>
      </c>
      <c r="M36" s="3">
        <v>0</v>
      </c>
    </row>
    <row r="37" spans="1:13" x14ac:dyDescent="0.25">
      <c r="A37" s="1">
        <v>2014</v>
      </c>
      <c r="B37" s="2">
        <v>5</v>
      </c>
      <c r="C37" s="2">
        <v>4</v>
      </c>
      <c r="D37" s="2">
        <v>19.32</v>
      </c>
      <c r="E37" s="2">
        <v>4</v>
      </c>
      <c r="F37" s="2">
        <v>19.32</v>
      </c>
      <c r="G37" s="2">
        <v>2</v>
      </c>
      <c r="H37" s="2">
        <v>20.78</v>
      </c>
      <c r="I37" s="2">
        <v>0</v>
      </c>
      <c r="J37" s="2">
        <v>0</v>
      </c>
      <c r="K37" s="3">
        <v>6663457.9000000004</v>
      </c>
      <c r="L37" s="3">
        <v>0</v>
      </c>
      <c r="M37" s="3">
        <v>0</v>
      </c>
    </row>
    <row r="38" spans="1:13" x14ac:dyDescent="0.25">
      <c r="A38" s="1">
        <v>2015</v>
      </c>
      <c r="B38" s="2">
        <v>7</v>
      </c>
      <c r="C38" s="2">
        <v>4</v>
      </c>
      <c r="D38" s="2">
        <v>19.52</v>
      </c>
      <c r="E38" s="2">
        <v>4</v>
      </c>
      <c r="F38" s="2">
        <v>19.52</v>
      </c>
      <c r="G38" s="2">
        <v>1</v>
      </c>
      <c r="H38" s="2">
        <v>20.62</v>
      </c>
      <c r="I38" s="2">
        <v>0</v>
      </c>
      <c r="J38" s="2">
        <v>0</v>
      </c>
      <c r="K38" s="3">
        <v>8236790.7000000002</v>
      </c>
      <c r="L38" s="3">
        <v>0</v>
      </c>
      <c r="M38" s="3">
        <v>0</v>
      </c>
    </row>
    <row r="39" spans="1:13" x14ac:dyDescent="0.25">
      <c r="A39" s="1">
        <v>2016</v>
      </c>
      <c r="B39" s="2">
        <v>8</v>
      </c>
      <c r="C39" s="2">
        <v>2</v>
      </c>
      <c r="D39" s="2">
        <v>16.71</v>
      </c>
      <c r="E39" s="2">
        <v>2</v>
      </c>
      <c r="F39" s="2">
        <v>16.71</v>
      </c>
      <c r="G39" s="2">
        <v>0</v>
      </c>
      <c r="H39" s="2">
        <v>0</v>
      </c>
      <c r="I39" s="2">
        <v>0</v>
      </c>
      <c r="J39" s="2">
        <v>0</v>
      </c>
      <c r="K39" s="3">
        <v>0</v>
      </c>
      <c r="L39" s="3">
        <v>0</v>
      </c>
      <c r="M39" s="3">
        <v>0</v>
      </c>
    </row>
    <row r="40" spans="1:13" x14ac:dyDescent="0.25">
      <c r="A40" s="1">
        <v>2017</v>
      </c>
      <c r="B40" s="2">
        <v>12</v>
      </c>
      <c r="C40" s="2">
        <v>0</v>
      </c>
      <c r="D40" s="2">
        <v>0</v>
      </c>
      <c r="E40" s="2">
        <v>0</v>
      </c>
      <c r="F40" s="2">
        <v>0</v>
      </c>
      <c r="G40" s="2">
        <v>0</v>
      </c>
      <c r="H40" s="2">
        <v>0</v>
      </c>
      <c r="I40" s="2">
        <v>0</v>
      </c>
      <c r="J40" s="2">
        <v>0</v>
      </c>
      <c r="K40" s="3">
        <v>0</v>
      </c>
      <c r="L40" s="3">
        <v>0</v>
      </c>
      <c r="M40" s="3">
        <v>0</v>
      </c>
    </row>
    <row r="41" spans="1:13" x14ac:dyDescent="0.25">
      <c r="A41" s="1">
        <v>2018</v>
      </c>
      <c r="B41" s="2">
        <v>5</v>
      </c>
      <c r="C41" s="2">
        <v>3</v>
      </c>
      <c r="D41" s="2">
        <v>19.52</v>
      </c>
      <c r="E41" s="2">
        <v>3</v>
      </c>
      <c r="F41" s="2">
        <v>19.52</v>
      </c>
      <c r="G41" s="2">
        <v>1</v>
      </c>
      <c r="H41" s="2">
        <v>24.02</v>
      </c>
      <c r="I41" s="2">
        <v>0</v>
      </c>
      <c r="J41" s="2">
        <v>0</v>
      </c>
      <c r="K41" s="3">
        <v>2489718.1</v>
      </c>
      <c r="L41" s="3">
        <v>0</v>
      </c>
      <c r="M41" s="3">
        <v>0</v>
      </c>
    </row>
    <row r="42" spans="1:13" x14ac:dyDescent="0.25">
      <c r="A42" s="1">
        <v>2019</v>
      </c>
      <c r="B42" s="2">
        <v>9</v>
      </c>
      <c r="C42" s="2">
        <v>0</v>
      </c>
      <c r="D42" s="2">
        <v>0</v>
      </c>
      <c r="E42" s="2">
        <v>0</v>
      </c>
      <c r="F42" s="2">
        <v>0</v>
      </c>
      <c r="G42" s="2">
        <v>0</v>
      </c>
      <c r="H42" s="2">
        <v>0</v>
      </c>
      <c r="I42" s="2">
        <v>0</v>
      </c>
      <c r="J42" s="2">
        <v>0</v>
      </c>
      <c r="K42" s="3">
        <v>0</v>
      </c>
      <c r="L42" s="3">
        <v>0</v>
      </c>
      <c r="M42" s="3">
        <v>0</v>
      </c>
    </row>
    <row r="43" spans="1:13" x14ac:dyDescent="0.25">
      <c r="A43" s="1">
        <v>2020</v>
      </c>
      <c r="B43" s="2">
        <v>8</v>
      </c>
      <c r="C43" s="2">
        <v>1</v>
      </c>
      <c r="D43" s="2">
        <v>20.16</v>
      </c>
      <c r="E43" s="2">
        <v>1</v>
      </c>
      <c r="F43" s="2">
        <v>20.16</v>
      </c>
      <c r="G43" s="2">
        <v>1</v>
      </c>
      <c r="H43" s="2">
        <v>20.16</v>
      </c>
      <c r="I43" s="2">
        <v>0</v>
      </c>
      <c r="J43" s="2">
        <v>0</v>
      </c>
      <c r="K43" s="3">
        <v>20905857.899999999</v>
      </c>
      <c r="L43" s="3">
        <v>0</v>
      </c>
      <c r="M43" s="3">
        <v>0</v>
      </c>
    </row>
    <row r="44" spans="1:13" x14ac:dyDescent="0.25">
      <c r="A44" s="4" t="s">
        <v>0</v>
      </c>
      <c r="B44" s="5">
        <f xml:space="preserve"> AVERAGEIF(B2:B43,"&gt;0")</f>
        <v>7.1904761904761907</v>
      </c>
      <c r="C44" s="5">
        <f t="shared" ref="C44:M44" si="0" xml:space="preserve"> AVERAGEIF(C2:C43,"&gt;0")</f>
        <v>3.4750000000000001</v>
      </c>
      <c r="D44" s="5">
        <f t="shared" si="0"/>
        <v>17.96</v>
      </c>
      <c r="E44" s="5">
        <f t="shared" si="0"/>
        <v>2.6923076923076925</v>
      </c>
      <c r="F44" s="5">
        <f t="shared" si="0"/>
        <v>19.364615384615384</v>
      </c>
      <c r="G44" s="5">
        <f t="shared" si="0"/>
        <v>1.4074074074074074</v>
      </c>
      <c r="H44" s="5">
        <f t="shared" si="0"/>
        <v>22.131481481481476</v>
      </c>
      <c r="I44" s="5">
        <f t="shared" si="0"/>
        <v>1.5</v>
      </c>
      <c r="J44" s="5">
        <f t="shared" si="0"/>
        <v>26.78</v>
      </c>
      <c r="K44" s="6">
        <f t="shared" si="0"/>
        <v>15830654.642857144</v>
      </c>
      <c r="L44" s="6">
        <f t="shared" si="0"/>
        <v>21867508.733333334</v>
      </c>
      <c r="M44" s="6">
        <f t="shared" si="0"/>
        <v>9490385.8000000007</v>
      </c>
    </row>
    <row r="45" spans="1:13" x14ac:dyDescent="0.25">
      <c r="A45" s="4" t="s">
        <v>1</v>
      </c>
      <c r="B45" s="5">
        <f>SUM(B2:B43)</f>
        <v>302</v>
      </c>
      <c r="C45" s="5">
        <f>SUM(C2:C43)</f>
        <v>139</v>
      </c>
      <c r="D45" s="5"/>
      <c r="E45" s="5">
        <f>SUM(E2:E43)</f>
        <v>105</v>
      </c>
      <c r="F45" s="5"/>
      <c r="G45" s="5">
        <f>SUM(G2:G43)</f>
        <v>38</v>
      </c>
      <c r="H45" s="5"/>
      <c r="I45" s="5">
        <f>SUM(I2:I43)</f>
        <v>3</v>
      </c>
      <c r="J45" s="5"/>
      <c r="K45" s="5"/>
      <c r="L45" s="5"/>
      <c r="M45" s="5"/>
    </row>
    <row r="48" spans="1:13" x14ac:dyDescent="0.25">
      <c r="B48" s="7" t="s">
        <v>3</v>
      </c>
      <c r="C48" s="7"/>
      <c r="D48" s="7"/>
      <c r="E48" s="7"/>
      <c r="F48" s="7"/>
      <c r="G48" s="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26</v>
      </c>
      <c r="C2" s="2">
        <v>7</v>
      </c>
      <c r="D2" s="2">
        <v>16.82</v>
      </c>
      <c r="E2" s="2">
        <v>3</v>
      </c>
      <c r="F2" s="2">
        <v>20.239999999999998</v>
      </c>
      <c r="G2" s="2">
        <v>2</v>
      </c>
      <c r="H2" s="2">
        <v>21.71</v>
      </c>
      <c r="I2" s="2">
        <v>0</v>
      </c>
      <c r="J2" s="2">
        <v>0</v>
      </c>
      <c r="K2" s="3">
        <v>5268208.9000000004</v>
      </c>
      <c r="L2" s="3">
        <v>0</v>
      </c>
      <c r="M2" s="3">
        <v>0</v>
      </c>
    </row>
    <row r="3" spans="1:13" x14ac:dyDescent="0.25">
      <c r="A3" s="1">
        <v>1980</v>
      </c>
      <c r="B3" s="2">
        <v>15</v>
      </c>
      <c r="C3" s="2">
        <v>10</v>
      </c>
      <c r="D3" s="2">
        <v>17.14</v>
      </c>
      <c r="E3" s="2">
        <v>6</v>
      </c>
      <c r="F3" s="2">
        <v>19.239999999999998</v>
      </c>
      <c r="G3" s="2">
        <v>3</v>
      </c>
      <c r="H3" s="2">
        <v>20.64</v>
      </c>
      <c r="I3" s="2">
        <v>0</v>
      </c>
      <c r="J3" s="2">
        <v>0</v>
      </c>
      <c r="K3" s="3">
        <v>20714582.800000001</v>
      </c>
      <c r="L3" s="3">
        <v>0</v>
      </c>
      <c r="M3" s="3">
        <v>0</v>
      </c>
    </row>
    <row r="4" spans="1:13" x14ac:dyDescent="0.25">
      <c r="A4" s="1">
        <v>1981</v>
      </c>
      <c r="B4" s="2">
        <v>21</v>
      </c>
      <c r="C4" s="2">
        <v>6</v>
      </c>
      <c r="D4" s="2">
        <v>15.98</v>
      </c>
      <c r="E4" s="2">
        <v>4</v>
      </c>
      <c r="F4" s="2">
        <v>17.690000000000001</v>
      </c>
      <c r="G4" s="2">
        <v>0</v>
      </c>
      <c r="H4" s="2">
        <v>0</v>
      </c>
      <c r="I4" s="2">
        <v>0</v>
      </c>
      <c r="J4" s="2">
        <v>0</v>
      </c>
      <c r="K4" s="3">
        <v>4909776.3</v>
      </c>
      <c r="L4" s="3">
        <v>0</v>
      </c>
      <c r="M4" s="3">
        <v>0</v>
      </c>
    </row>
    <row r="5" spans="1:13" x14ac:dyDescent="0.25">
      <c r="A5" s="1">
        <v>1982</v>
      </c>
      <c r="B5" s="2">
        <v>20</v>
      </c>
      <c r="C5" s="2">
        <v>8</v>
      </c>
      <c r="D5" s="2">
        <v>19.53</v>
      </c>
      <c r="E5" s="2">
        <v>8</v>
      </c>
      <c r="F5" s="2">
        <v>19.53</v>
      </c>
      <c r="G5" s="2">
        <v>4</v>
      </c>
      <c r="H5" s="2">
        <v>22.34</v>
      </c>
      <c r="I5" s="2">
        <v>0</v>
      </c>
      <c r="J5" s="2">
        <v>0</v>
      </c>
      <c r="K5" s="3">
        <v>41553208.700000003</v>
      </c>
      <c r="L5" s="3">
        <v>15677720.9</v>
      </c>
      <c r="M5" s="3">
        <v>0</v>
      </c>
    </row>
    <row r="6" spans="1:13" x14ac:dyDescent="0.25">
      <c r="A6" s="1">
        <v>1983</v>
      </c>
      <c r="B6" s="2">
        <v>17</v>
      </c>
      <c r="C6" s="2">
        <v>5</v>
      </c>
      <c r="D6" s="2">
        <v>20.28</v>
      </c>
      <c r="E6" s="2">
        <v>4</v>
      </c>
      <c r="F6" s="2">
        <v>21.81</v>
      </c>
      <c r="G6" s="2">
        <v>3</v>
      </c>
      <c r="H6" s="2">
        <v>23.02</v>
      </c>
      <c r="I6" s="2">
        <v>0</v>
      </c>
      <c r="J6" s="2">
        <v>0</v>
      </c>
      <c r="K6" s="3">
        <v>227812311.5</v>
      </c>
      <c r="L6" s="3">
        <v>59412294.5</v>
      </c>
      <c r="M6" s="3">
        <v>0</v>
      </c>
    </row>
    <row r="7" spans="1:13" x14ac:dyDescent="0.25">
      <c r="A7" s="1">
        <v>1984</v>
      </c>
      <c r="B7" s="2">
        <v>15</v>
      </c>
      <c r="C7" s="2">
        <v>6</v>
      </c>
      <c r="D7" s="2">
        <v>15.76</v>
      </c>
      <c r="E7" s="2">
        <v>3</v>
      </c>
      <c r="F7" s="2">
        <v>18.559999999999999</v>
      </c>
      <c r="G7" s="2">
        <v>1</v>
      </c>
      <c r="H7" s="2">
        <v>20</v>
      </c>
      <c r="I7" s="2">
        <v>0</v>
      </c>
      <c r="J7" s="2">
        <v>0</v>
      </c>
      <c r="K7" s="3">
        <v>4006970.8</v>
      </c>
      <c r="L7" s="3">
        <v>0</v>
      </c>
      <c r="M7" s="3">
        <v>0</v>
      </c>
    </row>
    <row r="8" spans="1:13" x14ac:dyDescent="0.25">
      <c r="A8" s="1">
        <v>1985</v>
      </c>
      <c r="B8" s="2">
        <v>20</v>
      </c>
      <c r="C8" s="2">
        <v>5</v>
      </c>
      <c r="D8" s="2">
        <v>17.79</v>
      </c>
      <c r="E8" s="2">
        <v>4</v>
      </c>
      <c r="F8" s="2">
        <v>18.989999999999998</v>
      </c>
      <c r="G8" s="2">
        <v>1</v>
      </c>
      <c r="H8" s="2">
        <v>21.69</v>
      </c>
      <c r="I8" s="2">
        <v>0</v>
      </c>
      <c r="J8" s="2">
        <v>0</v>
      </c>
      <c r="K8" s="3">
        <v>27633449.5</v>
      </c>
      <c r="L8" s="3">
        <v>5429275.4000000004</v>
      </c>
      <c r="M8" s="3">
        <v>0</v>
      </c>
    </row>
    <row r="9" spans="1:13" x14ac:dyDescent="0.25">
      <c r="A9" s="1">
        <v>1986</v>
      </c>
      <c r="B9" s="2">
        <v>20</v>
      </c>
      <c r="C9" s="2">
        <v>13</v>
      </c>
      <c r="D9" s="2">
        <v>17.46</v>
      </c>
      <c r="E9" s="2">
        <v>9</v>
      </c>
      <c r="F9" s="2">
        <v>19.55</v>
      </c>
      <c r="G9" s="2">
        <v>3</v>
      </c>
      <c r="H9" s="2">
        <v>22.09</v>
      </c>
      <c r="I9" s="2">
        <v>0</v>
      </c>
      <c r="J9" s="2">
        <v>0</v>
      </c>
      <c r="K9" s="3">
        <v>16409624.9</v>
      </c>
      <c r="L9" s="3">
        <v>5498725.0999999996</v>
      </c>
      <c r="M9" s="3">
        <v>0</v>
      </c>
    </row>
    <row r="10" spans="1:13" x14ac:dyDescent="0.25">
      <c r="A10" s="1">
        <v>1987</v>
      </c>
      <c r="B10" s="2">
        <v>21</v>
      </c>
      <c r="C10" s="2">
        <v>6</v>
      </c>
      <c r="D10" s="2">
        <v>18.91</v>
      </c>
      <c r="E10" s="2">
        <v>5</v>
      </c>
      <c r="F10" s="2">
        <v>20.170000000000002</v>
      </c>
      <c r="G10" s="2">
        <v>3</v>
      </c>
      <c r="H10" s="2">
        <v>21.67</v>
      </c>
      <c r="I10" s="2">
        <v>0</v>
      </c>
      <c r="J10" s="2">
        <v>0</v>
      </c>
      <c r="K10" s="3">
        <v>10145886.9</v>
      </c>
      <c r="L10" s="3">
        <v>0</v>
      </c>
      <c r="M10" s="3">
        <v>0</v>
      </c>
    </row>
    <row r="11" spans="1:13" x14ac:dyDescent="0.25">
      <c r="A11" s="1">
        <v>1988</v>
      </c>
      <c r="B11" s="2">
        <v>11</v>
      </c>
      <c r="C11" s="2">
        <v>3</v>
      </c>
      <c r="D11" s="2">
        <v>19.190000000000001</v>
      </c>
      <c r="E11" s="2">
        <v>2</v>
      </c>
      <c r="F11" s="2">
        <v>22.18</v>
      </c>
      <c r="G11" s="2">
        <v>2</v>
      </c>
      <c r="H11" s="2">
        <v>22.18</v>
      </c>
      <c r="I11" s="2">
        <v>0</v>
      </c>
      <c r="J11" s="2">
        <v>0</v>
      </c>
      <c r="K11" s="3">
        <v>2969831.9</v>
      </c>
      <c r="L11" s="3">
        <v>0</v>
      </c>
      <c r="M11" s="3">
        <v>0</v>
      </c>
    </row>
    <row r="12" spans="1:13" x14ac:dyDescent="0.25">
      <c r="A12" s="1">
        <v>1989</v>
      </c>
      <c r="B12" s="2">
        <v>13</v>
      </c>
      <c r="C12" s="2">
        <v>6</v>
      </c>
      <c r="D12" s="2">
        <v>22.66</v>
      </c>
      <c r="E12" s="2">
        <v>6</v>
      </c>
      <c r="F12" s="2">
        <v>22.66</v>
      </c>
      <c r="G12" s="2">
        <v>4</v>
      </c>
      <c r="H12" s="2">
        <v>24.96</v>
      </c>
      <c r="I12" s="2">
        <v>3</v>
      </c>
      <c r="J12" s="2">
        <v>26.34</v>
      </c>
      <c r="K12" s="3">
        <v>118038308.3</v>
      </c>
      <c r="L12" s="3">
        <v>89086281.099999994</v>
      </c>
      <c r="M12" s="3">
        <v>9490385.8000000007</v>
      </c>
    </row>
    <row r="13" spans="1:13" x14ac:dyDescent="0.25">
      <c r="A13" s="1">
        <v>1990</v>
      </c>
      <c r="B13" s="2">
        <v>13</v>
      </c>
      <c r="C13" s="2">
        <v>12</v>
      </c>
      <c r="D13" s="2">
        <v>17.190000000000001</v>
      </c>
      <c r="E13" s="2">
        <v>8</v>
      </c>
      <c r="F13" s="2">
        <v>19.350000000000001</v>
      </c>
      <c r="G13" s="2">
        <v>2</v>
      </c>
      <c r="H13" s="2">
        <v>24.47</v>
      </c>
      <c r="I13" s="2">
        <v>0</v>
      </c>
      <c r="J13" s="2">
        <v>0</v>
      </c>
      <c r="K13" s="3">
        <v>47817587.600000001</v>
      </c>
      <c r="L13" s="3">
        <v>16555603.4</v>
      </c>
      <c r="M13" s="3">
        <v>0</v>
      </c>
    </row>
    <row r="14" spans="1:13" x14ac:dyDescent="0.25">
      <c r="A14" s="1">
        <v>1991</v>
      </c>
      <c r="B14" s="2">
        <v>11</v>
      </c>
      <c r="C14" s="2">
        <v>8</v>
      </c>
      <c r="D14" s="2">
        <v>17.91</v>
      </c>
      <c r="E14" s="2">
        <v>7</v>
      </c>
      <c r="F14" s="2">
        <v>18.66</v>
      </c>
      <c r="G14" s="2">
        <v>2</v>
      </c>
      <c r="H14" s="2">
        <v>22.47</v>
      </c>
      <c r="I14" s="2">
        <v>0</v>
      </c>
      <c r="J14" s="2">
        <v>0</v>
      </c>
      <c r="K14" s="3">
        <v>7379170.2000000002</v>
      </c>
      <c r="L14" s="3">
        <v>0</v>
      </c>
      <c r="M14" s="3">
        <v>0</v>
      </c>
    </row>
    <row r="15" spans="1:13" x14ac:dyDescent="0.25">
      <c r="A15" s="1">
        <v>1992</v>
      </c>
      <c r="B15" s="2">
        <v>10</v>
      </c>
      <c r="C15" s="2">
        <v>5</v>
      </c>
      <c r="D15" s="2">
        <v>20.260000000000002</v>
      </c>
      <c r="E15" s="2">
        <v>5</v>
      </c>
      <c r="F15" s="2">
        <v>20.260000000000002</v>
      </c>
      <c r="G15" s="2">
        <v>3</v>
      </c>
      <c r="H15" s="2">
        <v>21.43</v>
      </c>
      <c r="I15" s="2">
        <v>0</v>
      </c>
      <c r="J15" s="2">
        <v>0</v>
      </c>
      <c r="K15" s="3">
        <v>17977855.300000001</v>
      </c>
      <c r="L15" s="3">
        <v>0</v>
      </c>
      <c r="M15" s="3">
        <v>0</v>
      </c>
    </row>
    <row r="16" spans="1:13" x14ac:dyDescent="0.25">
      <c r="A16" s="1">
        <v>1993</v>
      </c>
      <c r="B16" s="2">
        <v>20</v>
      </c>
      <c r="C16" s="2">
        <v>11</v>
      </c>
      <c r="D16" s="2">
        <v>17.420000000000002</v>
      </c>
      <c r="E16" s="2">
        <v>8</v>
      </c>
      <c r="F16" s="2">
        <v>18.84</v>
      </c>
      <c r="G16" s="2">
        <v>1</v>
      </c>
      <c r="H16" s="2">
        <v>27.08</v>
      </c>
      <c r="I16" s="2">
        <v>1</v>
      </c>
      <c r="J16" s="2">
        <v>27.08</v>
      </c>
      <c r="K16" s="3">
        <v>29819712</v>
      </c>
      <c r="L16" s="3">
        <v>5480807.2000000002</v>
      </c>
      <c r="M16" s="3">
        <v>0</v>
      </c>
    </row>
    <row r="17" spans="1:13" x14ac:dyDescent="0.25">
      <c r="A17" s="1">
        <v>1994</v>
      </c>
      <c r="B17" s="2">
        <v>16</v>
      </c>
      <c r="C17" s="2">
        <v>10</v>
      </c>
      <c r="D17" s="2">
        <v>18.47</v>
      </c>
      <c r="E17" s="2">
        <v>9</v>
      </c>
      <c r="F17" s="2">
        <v>19.64</v>
      </c>
      <c r="G17" s="2">
        <v>3</v>
      </c>
      <c r="H17" s="2">
        <v>22.15</v>
      </c>
      <c r="I17" s="2">
        <v>0</v>
      </c>
      <c r="J17" s="2">
        <v>0</v>
      </c>
      <c r="K17" s="3">
        <v>16802989.300000001</v>
      </c>
      <c r="L17" s="3">
        <v>5206124.2</v>
      </c>
      <c r="M17" s="3">
        <v>0</v>
      </c>
    </row>
    <row r="18" spans="1:13" x14ac:dyDescent="0.25">
      <c r="A18" s="1">
        <v>1995</v>
      </c>
      <c r="B18" s="2">
        <v>13</v>
      </c>
      <c r="C18" s="2">
        <v>9</v>
      </c>
      <c r="D18" s="2">
        <v>16.440000000000001</v>
      </c>
      <c r="E18" s="2">
        <v>5</v>
      </c>
      <c r="F18" s="2">
        <v>19.29</v>
      </c>
      <c r="G18" s="2">
        <v>2</v>
      </c>
      <c r="H18" s="2">
        <v>20.86</v>
      </c>
      <c r="I18" s="2">
        <v>0</v>
      </c>
      <c r="J18" s="2">
        <v>0</v>
      </c>
      <c r="K18" s="3">
        <v>22267733</v>
      </c>
      <c r="L18" s="3">
        <v>4525957.0999999996</v>
      </c>
      <c r="M18" s="3">
        <v>0</v>
      </c>
    </row>
    <row r="19" spans="1:13" x14ac:dyDescent="0.25">
      <c r="A19" s="1">
        <v>1996</v>
      </c>
      <c r="B19" s="2">
        <v>16</v>
      </c>
      <c r="C19" s="2">
        <v>4</v>
      </c>
      <c r="D19" s="2">
        <v>15.38</v>
      </c>
      <c r="E19" s="2">
        <v>2</v>
      </c>
      <c r="F19" s="2">
        <v>17</v>
      </c>
      <c r="G19" s="2">
        <v>0</v>
      </c>
      <c r="H19" s="2">
        <v>0</v>
      </c>
      <c r="I19" s="2">
        <v>0</v>
      </c>
      <c r="J19" s="2">
        <v>0</v>
      </c>
      <c r="K19" s="3">
        <v>7827839.2000000002</v>
      </c>
      <c r="L19" s="3">
        <v>0</v>
      </c>
      <c r="M19" s="3">
        <v>0</v>
      </c>
    </row>
    <row r="20" spans="1:13" x14ac:dyDescent="0.25">
      <c r="A20" s="1">
        <v>1997</v>
      </c>
      <c r="B20" s="2">
        <v>12</v>
      </c>
      <c r="C20" s="2">
        <v>10</v>
      </c>
      <c r="D20" s="2">
        <v>18.05</v>
      </c>
      <c r="E20" s="2">
        <v>8</v>
      </c>
      <c r="F20" s="2">
        <v>18.93</v>
      </c>
      <c r="G20" s="2">
        <v>3</v>
      </c>
      <c r="H20" s="2">
        <v>21.91</v>
      </c>
      <c r="I20" s="2">
        <v>0</v>
      </c>
      <c r="J20" s="2">
        <v>0</v>
      </c>
      <c r="K20" s="3">
        <v>11289364.1</v>
      </c>
      <c r="L20" s="3">
        <v>0</v>
      </c>
      <c r="M20" s="3">
        <v>0</v>
      </c>
    </row>
    <row r="21" spans="1:13" x14ac:dyDescent="0.25">
      <c r="A21" s="1">
        <v>1998</v>
      </c>
      <c r="B21" s="2">
        <v>27</v>
      </c>
      <c r="C21" s="2">
        <v>7</v>
      </c>
      <c r="D21" s="2">
        <v>17.98</v>
      </c>
      <c r="E21" s="2">
        <v>7</v>
      </c>
      <c r="F21" s="2">
        <v>17.98</v>
      </c>
      <c r="G21" s="2">
        <v>1</v>
      </c>
      <c r="H21" s="2">
        <v>21.76</v>
      </c>
      <c r="I21" s="2">
        <v>0</v>
      </c>
      <c r="J21" s="2">
        <v>0</v>
      </c>
      <c r="K21" s="3">
        <v>10505493.6</v>
      </c>
      <c r="L21" s="3">
        <v>0</v>
      </c>
      <c r="M21" s="3">
        <v>0</v>
      </c>
    </row>
    <row r="22" spans="1:13" x14ac:dyDescent="0.25">
      <c r="A22" s="1">
        <v>1999</v>
      </c>
      <c r="B22" s="2">
        <v>13</v>
      </c>
      <c r="C22" s="2">
        <v>2</v>
      </c>
      <c r="D22" s="2">
        <v>19.489999999999998</v>
      </c>
      <c r="E22" s="2">
        <v>2</v>
      </c>
      <c r="F22" s="2">
        <v>19.489999999999998</v>
      </c>
      <c r="G22" s="2">
        <v>1</v>
      </c>
      <c r="H22" s="2">
        <v>23.16</v>
      </c>
      <c r="I22" s="2">
        <v>0</v>
      </c>
      <c r="J22" s="2">
        <v>0</v>
      </c>
      <c r="K22" s="3">
        <v>2399424.6</v>
      </c>
      <c r="L22" s="3">
        <v>0</v>
      </c>
      <c r="M22" s="3">
        <v>0</v>
      </c>
    </row>
    <row r="23" spans="1:13" x14ac:dyDescent="0.25">
      <c r="A23" s="1">
        <v>2000</v>
      </c>
      <c r="B23" s="2">
        <v>16</v>
      </c>
      <c r="C23" s="2">
        <v>6</v>
      </c>
      <c r="D23" s="2">
        <v>19.2</v>
      </c>
      <c r="E23" s="2">
        <v>5</v>
      </c>
      <c r="F23" s="2">
        <v>20.59</v>
      </c>
      <c r="G23" s="2">
        <v>3</v>
      </c>
      <c r="H23" s="2">
        <v>22.18</v>
      </c>
      <c r="I23" s="2">
        <v>0</v>
      </c>
      <c r="J23" s="2">
        <v>0</v>
      </c>
      <c r="K23" s="3">
        <v>65172611.899999999</v>
      </c>
      <c r="L23" s="3">
        <v>10089719.9</v>
      </c>
      <c r="M23" s="3">
        <v>0</v>
      </c>
    </row>
    <row r="24" spans="1:13" x14ac:dyDescent="0.25">
      <c r="A24" s="1">
        <v>2001</v>
      </c>
      <c r="B24" s="2">
        <v>17</v>
      </c>
      <c r="C24" s="2">
        <v>9</v>
      </c>
      <c r="D24" s="2">
        <v>19.77</v>
      </c>
      <c r="E24" s="2">
        <v>8</v>
      </c>
      <c r="F24" s="2">
        <v>20.46</v>
      </c>
      <c r="G24" s="2">
        <v>3</v>
      </c>
      <c r="H24" s="2">
        <v>22.99</v>
      </c>
      <c r="I24" s="2">
        <v>1</v>
      </c>
      <c r="J24" s="2">
        <v>25.92</v>
      </c>
      <c r="K24" s="3">
        <v>27785541.300000001</v>
      </c>
      <c r="L24" s="3">
        <v>28662505.100000001</v>
      </c>
      <c r="M24" s="3">
        <v>0</v>
      </c>
    </row>
    <row r="25" spans="1:13" x14ac:dyDescent="0.25">
      <c r="A25" s="1">
        <v>2002</v>
      </c>
      <c r="B25" s="2">
        <v>17</v>
      </c>
      <c r="C25" s="2">
        <v>6</v>
      </c>
      <c r="D25" s="2">
        <v>14.27</v>
      </c>
      <c r="E25" s="2">
        <v>2</v>
      </c>
      <c r="F25" s="2">
        <v>17.29</v>
      </c>
      <c r="G25" s="2">
        <v>0</v>
      </c>
      <c r="H25" s="2">
        <v>0</v>
      </c>
      <c r="I25" s="2">
        <v>0</v>
      </c>
      <c r="J25" s="2">
        <v>0</v>
      </c>
      <c r="K25" s="3">
        <v>0</v>
      </c>
      <c r="L25" s="3">
        <v>0</v>
      </c>
      <c r="M25" s="3">
        <v>0</v>
      </c>
    </row>
    <row r="26" spans="1:13" x14ac:dyDescent="0.25">
      <c r="A26" s="1">
        <v>2003</v>
      </c>
      <c r="B26" s="2">
        <v>16</v>
      </c>
      <c r="C26" s="2">
        <v>9</v>
      </c>
      <c r="D26" s="2">
        <v>16.09</v>
      </c>
      <c r="E26" s="2">
        <v>4</v>
      </c>
      <c r="F26" s="2">
        <v>19.440000000000001</v>
      </c>
      <c r="G26" s="2">
        <v>2</v>
      </c>
      <c r="H26" s="2">
        <v>21.37</v>
      </c>
      <c r="I26" s="2">
        <v>0</v>
      </c>
      <c r="J26" s="2">
        <v>0</v>
      </c>
      <c r="K26" s="3">
        <v>16952211.699999999</v>
      </c>
      <c r="L26" s="3">
        <v>0</v>
      </c>
      <c r="M26" s="3">
        <v>0</v>
      </c>
    </row>
    <row r="27" spans="1:13" x14ac:dyDescent="0.25">
      <c r="A27" s="1">
        <v>2004</v>
      </c>
      <c r="B27" s="2">
        <v>7</v>
      </c>
      <c r="C27" s="2">
        <v>5</v>
      </c>
      <c r="D27" s="2">
        <v>19.73</v>
      </c>
      <c r="E27" s="2">
        <v>4</v>
      </c>
      <c r="F27" s="2">
        <v>21.18</v>
      </c>
      <c r="G27" s="2">
        <v>2</v>
      </c>
      <c r="H27" s="2">
        <v>25.16</v>
      </c>
      <c r="I27" s="2">
        <v>1</v>
      </c>
      <c r="J27" s="2">
        <v>28.69</v>
      </c>
      <c r="K27" s="3">
        <v>180575330.80000001</v>
      </c>
      <c r="L27" s="3">
        <v>149249721.19999999</v>
      </c>
      <c r="M27" s="3">
        <v>21151964.600000001</v>
      </c>
    </row>
    <row r="28" spans="1:13" x14ac:dyDescent="0.25">
      <c r="A28" s="1">
        <v>2005</v>
      </c>
      <c r="B28" s="2">
        <v>15</v>
      </c>
      <c r="C28" s="2">
        <v>6</v>
      </c>
      <c r="D28" s="2">
        <v>15.28</v>
      </c>
      <c r="E28" s="2">
        <v>3</v>
      </c>
      <c r="F28" s="2">
        <v>16.690000000000001</v>
      </c>
      <c r="G28" s="2">
        <v>0</v>
      </c>
      <c r="H28" s="2">
        <v>0</v>
      </c>
      <c r="I28" s="2">
        <v>0</v>
      </c>
      <c r="J28" s="2">
        <v>0</v>
      </c>
      <c r="K28" s="3">
        <v>0</v>
      </c>
      <c r="L28" s="3">
        <v>0</v>
      </c>
      <c r="M28" s="3">
        <v>0</v>
      </c>
    </row>
    <row r="29" spans="1:13" x14ac:dyDescent="0.25">
      <c r="A29" s="1">
        <v>2006</v>
      </c>
      <c r="B29" s="2">
        <v>19</v>
      </c>
      <c r="C29" s="2">
        <v>7</v>
      </c>
      <c r="D29" s="2">
        <v>17.27</v>
      </c>
      <c r="E29" s="2">
        <v>5</v>
      </c>
      <c r="F29" s="2">
        <v>19.38</v>
      </c>
      <c r="G29" s="2">
        <v>2</v>
      </c>
      <c r="H29" s="2">
        <v>20.95</v>
      </c>
      <c r="I29" s="2">
        <v>0</v>
      </c>
      <c r="J29" s="2">
        <v>0</v>
      </c>
      <c r="K29" s="3">
        <v>6252212.5</v>
      </c>
      <c r="L29" s="3">
        <v>0</v>
      </c>
      <c r="M29" s="3">
        <v>0</v>
      </c>
    </row>
    <row r="30" spans="1:13" x14ac:dyDescent="0.25">
      <c r="A30" s="1">
        <v>2007</v>
      </c>
      <c r="B30" s="2">
        <v>13</v>
      </c>
      <c r="C30" s="2">
        <v>5</v>
      </c>
      <c r="D30" s="2">
        <v>17.88</v>
      </c>
      <c r="E30" s="2">
        <v>4</v>
      </c>
      <c r="F30" s="2">
        <v>19.12</v>
      </c>
      <c r="G30" s="2">
        <v>1</v>
      </c>
      <c r="H30" s="2">
        <v>20.73</v>
      </c>
      <c r="I30" s="2">
        <v>0</v>
      </c>
      <c r="J30" s="2">
        <v>0</v>
      </c>
      <c r="K30" s="3">
        <v>9845691.8000000007</v>
      </c>
      <c r="L30" s="3">
        <v>0</v>
      </c>
      <c r="M30" s="3">
        <v>0</v>
      </c>
    </row>
    <row r="31" spans="1:13" x14ac:dyDescent="0.25">
      <c r="A31" s="1">
        <v>2008</v>
      </c>
      <c r="B31" s="2">
        <v>18</v>
      </c>
      <c r="C31" s="2">
        <v>6</v>
      </c>
      <c r="D31" s="2">
        <v>16.52</v>
      </c>
      <c r="E31" s="2">
        <v>3</v>
      </c>
      <c r="F31" s="2">
        <v>19.11</v>
      </c>
      <c r="G31" s="2">
        <v>2</v>
      </c>
      <c r="H31" s="2">
        <v>20.69</v>
      </c>
      <c r="I31" s="2">
        <v>0</v>
      </c>
      <c r="J31" s="2">
        <v>0</v>
      </c>
      <c r="K31" s="3">
        <v>8273134.2000000002</v>
      </c>
      <c r="L31" s="3">
        <v>0</v>
      </c>
      <c r="M31" s="3">
        <v>0</v>
      </c>
    </row>
    <row r="32" spans="1:13" x14ac:dyDescent="0.25">
      <c r="A32" s="1">
        <v>2009</v>
      </c>
      <c r="B32" s="2">
        <v>20</v>
      </c>
      <c r="C32" s="2">
        <v>5</v>
      </c>
      <c r="D32" s="2">
        <v>18.61</v>
      </c>
      <c r="E32" s="2">
        <v>4</v>
      </c>
      <c r="F32" s="2">
        <v>20.09</v>
      </c>
      <c r="G32" s="2">
        <v>2</v>
      </c>
      <c r="H32" s="2">
        <v>22.86</v>
      </c>
      <c r="I32" s="2">
        <v>0</v>
      </c>
      <c r="J32" s="2">
        <v>0</v>
      </c>
      <c r="K32" s="3">
        <v>49782961.799999997</v>
      </c>
      <c r="L32" s="3">
        <v>16157148.699999999</v>
      </c>
      <c r="M32" s="3">
        <v>0</v>
      </c>
    </row>
    <row r="33" spans="1:13" x14ac:dyDescent="0.25">
      <c r="A33" s="1">
        <v>2010</v>
      </c>
      <c r="B33" s="2">
        <v>12</v>
      </c>
      <c r="C33" s="2">
        <v>6</v>
      </c>
      <c r="D33" s="2">
        <v>15.96</v>
      </c>
      <c r="E33" s="2">
        <v>4</v>
      </c>
      <c r="F33" s="2">
        <v>18.059999999999999</v>
      </c>
      <c r="G33" s="2">
        <v>0</v>
      </c>
      <c r="H33" s="2">
        <v>0</v>
      </c>
      <c r="I33" s="2">
        <v>0</v>
      </c>
      <c r="J33" s="2">
        <v>0</v>
      </c>
      <c r="K33" s="3">
        <v>0</v>
      </c>
      <c r="L33" s="3">
        <v>0</v>
      </c>
      <c r="M33" s="3">
        <v>0</v>
      </c>
    </row>
    <row r="34" spans="1:13" x14ac:dyDescent="0.25">
      <c r="A34" s="1">
        <v>2011</v>
      </c>
      <c r="B34" s="2">
        <v>12</v>
      </c>
      <c r="C34" s="2">
        <v>4</v>
      </c>
      <c r="D34" s="2">
        <v>15.79</v>
      </c>
      <c r="E34" s="2">
        <v>1</v>
      </c>
      <c r="F34" s="2">
        <v>19.66</v>
      </c>
      <c r="G34" s="2">
        <v>0</v>
      </c>
      <c r="H34" s="2">
        <v>0</v>
      </c>
      <c r="I34" s="2">
        <v>0</v>
      </c>
      <c r="J34" s="2">
        <v>0</v>
      </c>
      <c r="K34" s="3">
        <v>5211646.0999999996</v>
      </c>
      <c r="L34" s="3">
        <v>0</v>
      </c>
      <c r="M34" s="3">
        <v>0</v>
      </c>
    </row>
    <row r="35" spans="1:13" x14ac:dyDescent="0.25">
      <c r="A35" s="1">
        <v>2012</v>
      </c>
      <c r="B35" s="2">
        <v>17</v>
      </c>
      <c r="C35" s="2">
        <v>6</v>
      </c>
      <c r="D35" s="2">
        <v>16.32</v>
      </c>
      <c r="E35" s="2">
        <v>3</v>
      </c>
      <c r="F35" s="2">
        <v>18.96</v>
      </c>
      <c r="G35" s="2">
        <v>1</v>
      </c>
      <c r="H35" s="2">
        <v>21.82</v>
      </c>
      <c r="I35" s="2">
        <v>0</v>
      </c>
      <c r="J35" s="2">
        <v>0</v>
      </c>
      <c r="K35" s="3">
        <v>3201907.7</v>
      </c>
      <c r="L35" s="3">
        <v>0</v>
      </c>
      <c r="M35" s="3">
        <v>0</v>
      </c>
    </row>
    <row r="36" spans="1:13" x14ac:dyDescent="0.25">
      <c r="A36" s="1">
        <v>2013</v>
      </c>
      <c r="B36" s="2">
        <v>11</v>
      </c>
      <c r="C36" s="2">
        <v>6</v>
      </c>
      <c r="D36" s="2">
        <v>17.32</v>
      </c>
      <c r="E36" s="2">
        <v>4</v>
      </c>
      <c r="F36" s="2">
        <v>19.91</v>
      </c>
      <c r="G36" s="2">
        <v>1</v>
      </c>
      <c r="H36" s="2">
        <v>25.34</v>
      </c>
      <c r="I36" s="2">
        <v>1</v>
      </c>
      <c r="J36" s="2">
        <v>25.34</v>
      </c>
      <c r="K36" s="3">
        <v>62287395.5</v>
      </c>
      <c r="L36" s="3">
        <v>54204435.399999999</v>
      </c>
      <c r="M36" s="3">
        <v>0</v>
      </c>
    </row>
    <row r="37" spans="1:13" x14ac:dyDescent="0.25">
      <c r="A37" s="1">
        <v>2014</v>
      </c>
      <c r="B37" s="2">
        <v>16</v>
      </c>
      <c r="C37" s="2">
        <v>7</v>
      </c>
      <c r="D37" s="2">
        <v>17.53</v>
      </c>
      <c r="E37" s="2">
        <v>5</v>
      </c>
      <c r="F37" s="2">
        <v>19.77</v>
      </c>
      <c r="G37" s="2">
        <v>3</v>
      </c>
      <c r="H37" s="2">
        <v>21.04</v>
      </c>
      <c r="I37" s="2">
        <v>0</v>
      </c>
      <c r="J37" s="2">
        <v>0</v>
      </c>
      <c r="K37" s="3">
        <v>21161252.100000001</v>
      </c>
      <c r="L37" s="3">
        <v>0</v>
      </c>
      <c r="M37" s="3">
        <v>0</v>
      </c>
    </row>
    <row r="38" spans="1:13" x14ac:dyDescent="0.25">
      <c r="A38" s="1">
        <v>2015</v>
      </c>
      <c r="B38" s="2">
        <v>9</v>
      </c>
      <c r="C38" s="2">
        <v>8</v>
      </c>
      <c r="D38" s="2">
        <v>17.260000000000002</v>
      </c>
      <c r="E38" s="2">
        <v>5</v>
      </c>
      <c r="F38" s="2">
        <v>19.89</v>
      </c>
      <c r="G38" s="2">
        <v>2</v>
      </c>
      <c r="H38" s="2">
        <v>21.01</v>
      </c>
      <c r="I38" s="2">
        <v>0</v>
      </c>
      <c r="J38" s="2">
        <v>0</v>
      </c>
      <c r="K38" s="3">
        <v>13006205.800000001</v>
      </c>
      <c r="L38" s="3">
        <v>0</v>
      </c>
      <c r="M38" s="3">
        <v>0</v>
      </c>
    </row>
    <row r="39" spans="1:13" x14ac:dyDescent="0.25">
      <c r="A39" s="1">
        <v>2016</v>
      </c>
      <c r="B39" s="2">
        <v>11</v>
      </c>
      <c r="C39" s="2">
        <v>2</v>
      </c>
      <c r="D39" s="2">
        <v>16.7</v>
      </c>
      <c r="E39" s="2">
        <v>2</v>
      </c>
      <c r="F39" s="2">
        <v>16.7</v>
      </c>
      <c r="G39" s="2">
        <v>0</v>
      </c>
      <c r="H39" s="2">
        <v>0</v>
      </c>
      <c r="I39" s="2">
        <v>0</v>
      </c>
      <c r="J39" s="2">
        <v>0</v>
      </c>
      <c r="K39" s="3">
        <v>0</v>
      </c>
      <c r="L39" s="3">
        <v>0</v>
      </c>
      <c r="M39" s="3">
        <v>0</v>
      </c>
    </row>
    <row r="40" spans="1:13" x14ac:dyDescent="0.25">
      <c r="A40" s="1">
        <v>2017</v>
      </c>
      <c r="B40" s="2">
        <v>26</v>
      </c>
      <c r="C40" s="2">
        <v>2</v>
      </c>
      <c r="D40" s="2">
        <v>15.19</v>
      </c>
      <c r="E40" s="2">
        <v>1</v>
      </c>
      <c r="F40" s="2">
        <v>15.68</v>
      </c>
      <c r="G40" s="2">
        <v>0</v>
      </c>
      <c r="H40" s="2">
        <v>0</v>
      </c>
      <c r="I40" s="2">
        <v>0</v>
      </c>
      <c r="J40" s="2">
        <v>0</v>
      </c>
      <c r="K40" s="3">
        <v>0</v>
      </c>
      <c r="L40" s="3">
        <v>0</v>
      </c>
      <c r="M40" s="3">
        <v>0</v>
      </c>
    </row>
    <row r="41" spans="1:13" x14ac:dyDescent="0.25">
      <c r="A41" s="1">
        <v>2018</v>
      </c>
      <c r="B41" s="2">
        <v>19</v>
      </c>
      <c r="C41" s="2">
        <v>8</v>
      </c>
      <c r="D41" s="2">
        <v>18.21</v>
      </c>
      <c r="E41" s="2">
        <v>7</v>
      </c>
      <c r="F41" s="2">
        <v>18.63</v>
      </c>
      <c r="G41" s="2">
        <v>1</v>
      </c>
      <c r="H41" s="2">
        <v>24.02</v>
      </c>
      <c r="I41" s="2">
        <v>0</v>
      </c>
      <c r="J41" s="2">
        <v>0</v>
      </c>
      <c r="K41" s="3">
        <v>12414948.199999999</v>
      </c>
      <c r="L41" s="3">
        <v>0</v>
      </c>
      <c r="M41" s="3">
        <v>0</v>
      </c>
    </row>
    <row r="42" spans="1:13" x14ac:dyDescent="0.25">
      <c r="A42" s="1">
        <v>2019</v>
      </c>
      <c r="B42" s="2">
        <v>26</v>
      </c>
      <c r="C42" s="2">
        <v>7</v>
      </c>
      <c r="D42" s="2">
        <v>18.47</v>
      </c>
      <c r="E42" s="2">
        <v>6</v>
      </c>
      <c r="F42" s="2">
        <v>19.21</v>
      </c>
      <c r="G42" s="2">
        <v>1</v>
      </c>
      <c r="H42" s="2">
        <v>22.67</v>
      </c>
      <c r="I42" s="2">
        <v>0</v>
      </c>
      <c r="J42" s="2">
        <v>0</v>
      </c>
      <c r="K42" s="3">
        <v>10267306.699999999</v>
      </c>
      <c r="L42" s="3">
        <v>0</v>
      </c>
      <c r="M42" s="3">
        <v>0</v>
      </c>
    </row>
    <row r="43" spans="1:13" x14ac:dyDescent="0.25">
      <c r="A43" s="1">
        <v>2020</v>
      </c>
      <c r="B43" s="2">
        <v>16</v>
      </c>
      <c r="C43" s="2">
        <v>6</v>
      </c>
      <c r="D43" s="2">
        <v>16.02</v>
      </c>
      <c r="E43" s="2">
        <v>3</v>
      </c>
      <c r="F43" s="2">
        <v>17.52</v>
      </c>
      <c r="G43" s="2">
        <v>1</v>
      </c>
      <c r="H43" s="2">
        <v>20.16</v>
      </c>
      <c r="I43" s="2">
        <v>0</v>
      </c>
      <c r="J43" s="2">
        <v>0</v>
      </c>
      <c r="K43" s="3">
        <v>16835687.600000001</v>
      </c>
      <c r="L43" s="3">
        <v>0</v>
      </c>
      <c r="M43" s="3">
        <v>0</v>
      </c>
    </row>
    <row r="44" spans="1:13" x14ac:dyDescent="0.25">
      <c r="A44" s="4" t="s">
        <v>0</v>
      </c>
      <c r="B44" s="5">
        <f xml:space="preserve"> AVERAGEIF(B2:B43,"&gt;0")</f>
        <v>16.261904761904763</v>
      </c>
      <c r="C44" s="5">
        <f t="shared" ref="C44:M44" si="0" xml:space="preserve"> AVERAGEIF(C2:C43,"&gt;0")</f>
        <v>6.6428571428571432</v>
      </c>
      <c r="D44" s="5">
        <f t="shared" si="0"/>
        <v>17.607142857142861</v>
      </c>
      <c r="E44" s="5">
        <f t="shared" si="0"/>
        <v>4.7142857142857144</v>
      </c>
      <c r="F44" s="5">
        <f t="shared" si="0"/>
        <v>19.223809523809525</v>
      </c>
      <c r="G44" s="5">
        <f t="shared" si="0"/>
        <v>2.0882352941176472</v>
      </c>
      <c r="H44" s="5">
        <f t="shared" si="0"/>
        <v>22.31117647058824</v>
      </c>
      <c r="I44" s="5">
        <f t="shared" si="0"/>
        <v>1.4</v>
      </c>
      <c r="J44" s="5">
        <f t="shared" si="0"/>
        <v>26.673999999999999</v>
      </c>
      <c r="K44" s="6">
        <f t="shared" si="0"/>
        <v>31420956.083783776</v>
      </c>
      <c r="L44" s="6">
        <f t="shared" si="0"/>
        <v>33231165.657142852</v>
      </c>
      <c r="M44" s="6">
        <f t="shared" si="0"/>
        <v>15321175.200000001</v>
      </c>
    </row>
    <row r="45" spans="1:13" x14ac:dyDescent="0.25">
      <c r="A45" s="4" t="s">
        <v>1</v>
      </c>
      <c r="B45" s="5">
        <f>SUM(B2:B43)</f>
        <v>683</v>
      </c>
      <c r="C45" s="5">
        <f>SUM(C2:C43)</f>
        <v>279</v>
      </c>
      <c r="D45" s="5"/>
      <c r="E45" s="5">
        <f>SUM(E2:E43)</f>
        <v>198</v>
      </c>
      <c r="F45" s="5"/>
      <c r="G45" s="5">
        <f>SUM(G2:G43)</f>
        <v>71</v>
      </c>
      <c r="H45" s="5"/>
      <c r="I45" s="5">
        <f>SUM(I2:I43)</f>
        <v>7</v>
      </c>
      <c r="J45" s="5"/>
      <c r="K45" s="5"/>
      <c r="L45" s="5"/>
      <c r="M45" s="5"/>
    </row>
    <row r="48" spans="1:13" x14ac:dyDescent="0.25">
      <c r="B48" s="7" t="s">
        <v>3</v>
      </c>
      <c r="C48" s="7"/>
      <c r="D48" s="7"/>
      <c r="E48" s="7"/>
      <c r="F48" s="7"/>
      <c r="G48" s="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41</v>
      </c>
      <c r="C2" s="2">
        <v>29</v>
      </c>
      <c r="D2" s="2">
        <v>15.08</v>
      </c>
      <c r="E2" s="2">
        <v>13</v>
      </c>
      <c r="F2" s="2">
        <v>19.89</v>
      </c>
      <c r="G2" s="2">
        <v>5</v>
      </c>
      <c r="H2" s="2">
        <v>24.23</v>
      </c>
      <c r="I2" s="2">
        <v>2</v>
      </c>
      <c r="J2" s="2">
        <v>26.95</v>
      </c>
      <c r="K2" s="3">
        <v>22064408.899999999</v>
      </c>
      <c r="L2" s="3">
        <v>19907607.399999999</v>
      </c>
      <c r="M2" s="3">
        <v>0</v>
      </c>
    </row>
    <row r="3" spans="1:13" x14ac:dyDescent="0.25">
      <c r="A3" s="1">
        <v>1980</v>
      </c>
      <c r="B3" s="2">
        <v>65</v>
      </c>
      <c r="C3" s="2">
        <v>37</v>
      </c>
      <c r="D3" s="2">
        <v>16.329999999999998</v>
      </c>
      <c r="E3" s="2">
        <v>25</v>
      </c>
      <c r="F3" s="2">
        <v>18.78</v>
      </c>
      <c r="G3" s="2">
        <v>7</v>
      </c>
      <c r="H3" s="2">
        <v>21.64</v>
      </c>
      <c r="I3" s="2">
        <v>0</v>
      </c>
      <c r="J3" s="2">
        <v>0</v>
      </c>
      <c r="K3" s="3">
        <v>23226923.199999999</v>
      </c>
      <c r="L3" s="3">
        <v>17057560.600000001</v>
      </c>
      <c r="M3" s="3">
        <v>0</v>
      </c>
    </row>
    <row r="4" spans="1:13" x14ac:dyDescent="0.25">
      <c r="A4" s="1">
        <v>1981</v>
      </c>
      <c r="B4" s="2">
        <v>49</v>
      </c>
      <c r="C4" s="2">
        <v>34</v>
      </c>
      <c r="D4" s="2">
        <v>14.73</v>
      </c>
      <c r="E4" s="2">
        <v>16</v>
      </c>
      <c r="F4" s="2">
        <v>18.809999999999999</v>
      </c>
      <c r="G4" s="2">
        <v>7</v>
      </c>
      <c r="H4" s="2">
        <v>20.94</v>
      </c>
      <c r="I4" s="2">
        <v>0</v>
      </c>
      <c r="J4" s="2">
        <v>0</v>
      </c>
      <c r="K4" s="3">
        <v>19179344.300000001</v>
      </c>
      <c r="L4" s="3">
        <v>14207952.9</v>
      </c>
      <c r="M4" s="3">
        <v>0</v>
      </c>
    </row>
    <row r="5" spans="1:13" x14ac:dyDescent="0.25">
      <c r="A5" s="1">
        <v>1982</v>
      </c>
      <c r="B5" s="2">
        <v>53</v>
      </c>
      <c r="C5" s="2">
        <v>27</v>
      </c>
      <c r="D5" s="2">
        <v>15.98</v>
      </c>
      <c r="E5" s="2">
        <v>14</v>
      </c>
      <c r="F5" s="2">
        <v>19.170000000000002</v>
      </c>
      <c r="G5" s="2">
        <v>5</v>
      </c>
      <c r="H5" s="2">
        <v>21.82</v>
      </c>
      <c r="I5" s="2">
        <v>0</v>
      </c>
      <c r="J5" s="2">
        <v>0</v>
      </c>
      <c r="K5" s="3">
        <v>18954382.399999999</v>
      </c>
      <c r="L5" s="3">
        <v>14116988.199999999</v>
      </c>
      <c r="M5" s="3">
        <v>0</v>
      </c>
    </row>
    <row r="6" spans="1:13" x14ac:dyDescent="0.25">
      <c r="A6" s="1">
        <v>1983</v>
      </c>
      <c r="B6" s="2">
        <v>60</v>
      </c>
      <c r="C6" s="2">
        <v>35</v>
      </c>
      <c r="D6" s="2">
        <v>16.350000000000001</v>
      </c>
      <c r="E6" s="2">
        <v>23</v>
      </c>
      <c r="F6" s="2">
        <v>19.34</v>
      </c>
      <c r="G6" s="2">
        <v>9</v>
      </c>
      <c r="H6" s="2">
        <v>23.06</v>
      </c>
      <c r="I6" s="2">
        <v>1</v>
      </c>
      <c r="J6" s="2">
        <v>27.77</v>
      </c>
      <c r="K6" s="3">
        <v>25717424.899999999</v>
      </c>
      <c r="L6" s="3">
        <v>16652045.5</v>
      </c>
      <c r="M6" s="3">
        <v>0</v>
      </c>
    </row>
    <row r="7" spans="1:13" x14ac:dyDescent="0.25">
      <c r="A7" s="1">
        <v>1984</v>
      </c>
      <c r="B7" s="2">
        <v>44</v>
      </c>
      <c r="C7" s="2">
        <v>25</v>
      </c>
      <c r="D7" s="2">
        <v>14.47</v>
      </c>
      <c r="E7" s="2">
        <v>11</v>
      </c>
      <c r="F7" s="2">
        <v>19.12</v>
      </c>
      <c r="G7" s="2">
        <v>4</v>
      </c>
      <c r="H7" s="2">
        <v>22.13</v>
      </c>
      <c r="I7" s="2">
        <v>1</v>
      </c>
      <c r="J7" s="2">
        <v>25.91</v>
      </c>
      <c r="K7" s="3">
        <v>7930268.5</v>
      </c>
      <c r="L7" s="3">
        <v>3603980.8</v>
      </c>
      <c r="M7" s="3">
        <v>0</v>
      </c>
    </row>
    <row r="8" spans="1:13" x14ac:dyDescent="0.25">
      <c r="A8" s="1">
        <v>1985</v>
      </c>
      <c r="B8" s="2">
        <v>51</v>
      </c>
      <c r="C8" s="2">
        <v>36</v>
      </c>
      <c r="D8" s="2">
        <v>14.2</v>
      </c>
      <c r="E8" s="2">
        <v>14</v>
      </c>
      <c r="F8" s="2">
        <v>18.75</v>
      </c>
      <c r="G8" s="2">
        <v>4</v>
      </c>
      <c r="H8" s="2">
        <v>22.54</v>
      </c>
      <c r="I8" s="2">
        <v>0</v>
      </c>
      <c r="J8" s="2">
        <v>0</v>
      </c>
      <c r="K8" s="3">
        <v>18239299.300000001</v>
      </c>
      <c r="L8" s="3">
        <v>23779788.699999999</v>
      </c>
      <c r="M8" s="3">
        <v>0</v>
      </c>
    </row>
    <row r="9" spans="1:13" x14ac:dyDescent="0.25">
      <c r="A9" s="1">
        <v>1986</v>
      </c>
      <c r="B9" s="2">
        <v>62</v>
      </c>
      <c r="C9" s="2">
        <v>31</v>
      </c>
      <c r="D9" s="2">
        <v>14.14</v>
      </c>
      <c r="E9" s="2">
        <v>10</v>
      </c>
      <c r="F9" s="2">
        <v>20.25</v>
      </c>
      <c r="G9" s="2">
        <v>4</v>
      </c>
      <c r="H9" s="2">
        <v>22.47</v>
      </c>
      <c r="I9" s="2">
        <v>0</v>
      </c>
      <c r="J9" s="2">
        <v>0</v>
      </c>
      <c r="K9" s="3">
        <v>14452233.4</v>
      </c>
      <c r="L9" s="3">
        <v>4335030</v>
      </c>
      <c r="M9" s="3">
        <v>0</v>
      </c>
    </row>
    <row r="10" spans="1:13" x14ac:dyDescent="0.25">
      <c r="A10" s="1">
        <v>1987</v>
      </c>
      <c r="B10" s="2">
        <v>49</v>
      </c>
      <c r="C10" s="2">
        <v>29</v>
      </c>
      <c r="D10" s="2">
        <v>15.32</v>
      </c>
      <c r="E10" s="2">
        <v>14</v>
      </c>
      <c r="F10" s="2">
        <v>19.97</v>
      </c>
      <c r="G10" s="2">
        <v>7</v>
      </c>
      <c r="H10" s="2">
        <v>22.37</v>
      </c>
      <c r="I10" s="2">
        <v>1</v>
      </c>
      <c r="J10" s="2">
        <v>27.76</v>
      </c>
      <c r="K10" s="3">
        <v>10473387.199999999</v>
      </c>
      <c r="L10" s="3">
        <v>7835535.7999999998</v>
      </c>
      <c r="M10" s="3">
        <v>0</v>
      </c>
    </row>
    <row r="11" spans="1:13" x14ac:dyDescent="0.25">
      <c r="A11" s="1">
        <v>1988</v>
      </c>
      <c r="B11" s="2">
        <v>72</v>
      </c>
      <c r="C11" s="2">
        <v>43</v>
      </c>
      <c r="D11" s="2">
        <v>15.46</v>
      </c>
      <c r="E11" s="2">
        <v>21</v>
      </c>
      <c r="F11" s="2">
        <v>20.05</v>
      </c>
      <c r="G11" s="2">
        <v>10</v>
      </c>
      <c r="H11" s="2">
        <v>22.87</v>
      </c>
      <c r="I11" s="2">
        <v>2</v>
      </c>
      <c r="J11" s="2">
        <v>28.8</v>
      </c>
      <c r="K11" s="3">
        <v>33549848.600000001</v>
      </c>
      <c r="L11" s="3">
        <v>22077789.5</v>
      </c>
      <c r="M11" s="3">
        <v>7387055.5</v>
      </c>
    </row>
    <row r="12" spans="1:13" x14ac:dyDescent="0.25">
      <c r="A12" s="1">
        <v>1989</v>
      </c>
      <c r="B12" s="2">
        <v>77</v>
      </c>
      <c r="C12" s="2">
        <v>31</v>
      </c>
      <c r="D12" s="2">
        <v>15.93</v>
      </c>
      <c r="E12" s="2">
        <v>15</v>
      </c>
      <c r="F12" s="2">
        <v>21.03</v>
      </c>
      <c r="G12" s="2">
        <v>8</v>
      </c>
      <c r="H12" s="2">
        <v>23.09</v>
      </c>
      <c r="I12" s="2">
        <v>2</v>
      </c>
      <c r="J12" s="2">
        <v>26.37</v>
      </c>
      <c r="K12" s="3">
        <v>19718183.300000001</v>
      </c>
      <c r="L12" s="3">
        <v>7451701.5</v>
      </c>
      <c r="M12" s="3">
        <v>0</v>
      </c>
    </row>
    <row r="13" spans="1:13" x14ac:dyDescent="0.25">
      <c r="A13" s="1">
        <v>1990</v>
      </c>
      <c r="B13" s="2">
        <v>46</v>
      </c>
      <c r="C13" s="2">
        <v>23</v>
      </c>
      <c r="D13" s="2">
        <v>15.82</v>
      </c>
      <c r="E13" s="2">
        <v>10</v>
      </c>
      <c r="F13" s="2">
        <v>20.37</v>
      </c>
      <c r="G13" s="2">
        <v>5</v>
      </c>
      <c r="H13" s="2">
        <v>22.24</v>
      </c>
      <c r="I13" s="2">
        <v>0</v>
      </c>
      <c r="J13" s="2">
        <v>0</v>
      </c>
      <c r="K13" s="3">
        <v>13175264.1</v>
      </c>
      <c r="L13" s="3">
        <v>7642513.7000000002</v>
      </c>
      <c r="M13" s="3">
        <v>0</v>
      </c>
    </row>
    <row r="14" spans="1:13" x14ac:dyDescent="0.25">
      <c r="A14" s="1">
        <v>1991</v>
      </c>
      <c r="B14" s="2">
        <v>75</v>
      </c>
      <c r="C14" s="2">
        <v>39</v>
      </c>
      <c r="D14" s="2">
        <v>14.7</v>
      </c>
      <c r="E14" s="2">
        <v>16</v>
      </c>
      <c r="F14" s="2">
        <v>20.55</v>
      </c>
      <c r="G14" s="2">
        <v>7</v>
      </c>
      <c r="H14" s="2">
        <v>23.78</v>
      </c>
      <c r="I14" s="2">
        <v>2</v>
      </c>
      <c r="J14" s="2">
        <v>25.9</v>
      </c>
      <c r="K14" s="3">
        <v>30983139.899999999</v>
      </c>
      <c r="L14" s="3">
        <v>7713592.4000000004</v>
      </c>
      <c r="M14" s="3">
        <v>0</v>
      </c>
    </row>
    <row r="15" spans="1:13" x14ac:dyDescent="0.25">
      <c r="A15" s="1">
        <v>1992</v>
      </c>
      <c r="B15" s="2">
        <v>59</v>
      </c>
      <c r="C15" s="2">
        <v>33</v>
      </c>
      <c r="D15" s="2">
        <v>17.68</v>
      </c>
      <c r="E15" s="2">
        <v>23</v>
      </c>
      <c r="F15" s="2">
        <v>20.190000000000001</v>
      </c>
      <c r="G15" s="2">
        <v>7</v>
      </c>
      <c r="H15" s="2">
        <v>24.06</v>
      </c>
      <c r="I15" s="2">
        <v>3</v>
      </c>
      <c r="J15" s="2">
        <v>26.86</v>
      </c>
      <c r="K15" s="3">
        <v>43895462.600000001</v>
      </c>
      <c r="L15" s="3">
        <v>34028267.299999997</v>
      </c>
      <c r="M15" s="3">
        <v>17072256.5</v>
      </c>
    </row>
    <row r="16" spans="1:13" x14ac:dyDescent="0.25">
      <c r="A16" s="1">
        <v>1993</v>
      </c>
      <c r="B16" s="2">
        <v>37</v>
      </c>
      <c r="C16" s="2">
        <v>27</v>
      </c>
      <c r="D16" s="2">
        <v>13.75</v>
      </c>
      <c r="E16" s="2">
        <v>10</v>
      </c>
      <c r="F16" s="2">
        <v>18.600000000000001</v>
      </c>
      <c r="G16" s="2">
        <v>2</v>
      </c>
      <c r="H16" s="2">
        <v>20.47</v>
      </c>
      <c r="I16" s="2">
        <v>0</v>
      </c>
      <c r="J16" s="2">
        <v>0</v>
      </c>
      <c r="K16" s="3">
        <v>5054756.0999999996</v>
      </c>
      <c r="L16" s="3">
        <v>0</v>
      </c>
      <c r="M16" s="3">
        <v>0</v>
      </c>
    </row>
    <row r="17" spans="1:13" x14ac:dyDescent="0.25">
      <c r="A17" s="1">
        <v>1994</v>
      </c>
      <c r="B17" s="2">
        <v>69</v>
      </c>
      <c r="C17" s="2">
        <v>34</v>
      </c>
      <c r="D17" s="2">
        <v>15.27</v>
      </c>
      <c r="E17" s="2">
        <v>15</v>
      </c>
      <c r="F17" s="2">
        <v>19.7</v>
      </c>
      <c r="G17" s="2">
        <v>5</v>
      </c>
      <c r="H17" s="2">
        <v>22.38</v>
      </c>
      <c r="I17" s="2">
        <v>1</v>
      </c>
      <c r="J17" s="2">
        <v>25.25</v>
      </c>
      <c r="K17" s="3">
        <v>20269909.699999999</v>
      </c>
      <c r="L17" s="3">
        <v>5657838.2999999998</v>
      </c>
      <c r="M17" s="3">
        <v>0</v>
      </c>
    </row>
    <row r="18" spans="1:13" x14ac:dyDescent="0.25">
      <c r="A18" s="1">
        <v>1995</v>
      </c>
      <c r="B18" s="2">
        <v>47</v>
      </c>
      <c r="C18" s="2">
        <v>35</v>
      </c>
      <c r="D18" s="2">
        <v>14.01</v>
      </c>
      <c r="E18" s="2">
        <v>13</v>
      </c>
      <c r="F18" s="2">
        <v>18.86</v>
      </c>
      <c r="G18" s="2">
        <v>3</v>
      </c>
      <c r="H18" s="2">
        <v>22.54</v>
      </c>
      <c r="I18" s="2">
        <v>0</v>
      </c>
      <c r="J18" s="2">
        <v>0</v>
      </c>
      <c r="K18" s="3">
        <v>15790932.300000001</v>
      </c>
      <c r="L18" s="3">
        <v>8041302.5999999996</v>
      </c>
      <c r="M18" s="3">
        <v>0</v>
      </c>
    </row>
    <row r="19" spans="1:13" x14ac:dyDescent="0.25">
      <c r="A19" s="1">
        <v>1996</v>
      </c>
      <c r="B19" s="2">
        <v>62</v>
      </c>
      <c r="C19" s="2">
        <v>36</v>
      </c>
      <c r="D19" s="2">
        <v>15.91</v>
      </c>
      <c r="E19" s="2">
        <v>21</v>
      </c>
      <c r="F19" s="2">
        <v>19.75</v>
      </c>
      <c r="G19" s="2">
        <v>9</v>
      </c>
      <c r="H19" s="2">
        <v>22.71</v>
      </c>
      <c r="I19" s="2">
        <v>2</v>
      </c>
      <c r="J19" s="2">
        <v>27.83</v>
      </c>
      <c r="K19" s="3">
        <v>23737964.300000001</v>
      </c>
      <c r="L19" s="3">
        <v>18140339.199999999</v>
      </c>
      <c r="M19" s="3">
        <v>15873403.1</v>
      </c>
    </row>
    <row r="20" spans="1:13" x14ac:dyDescent="0.25">
      <c r="A20" s="1">
        <v>1997</v>
      </c>
      <c r="B20" s="2">
        <v>68</v>
      </c>
      <c r="C20" s="2">
        <v>35</v>
      </c>
      <c r="D20" s="2">
        <v>13.47</v>
      </c>
      <c r="E20" s="2">
        <v>10</v>
      </c>
      <c r="F20" s="2">
        <v>18.41</v>
      </c>
      <c r="G20" s="2">
        <v>1</v>
      </c>
      <c r="H20" s="2">
        <v>21.45</v>
      </c>
      <c r="I20" s="2">
        <v>0</v>
      </c>
      <c r="J20" s="2">
        <v>0</v>
      </c>
      <c r="K20" s="3">
        <v>12646016.9</v>
      </c>
      <c r="L20" s="3">
        <v>0</v>
      </c>
      <c r="M20" s="3">
        <v>0</v>
      </c>
    </row>
    <row r="21" spans="1:13" x14ac:dyDescent="0.25">
      <c r="A21" s="1">
        <v>1998</v>
      </c>
      <c r="B21" s="2">
        <v>53</v>
      </c>
      <c r="C21" s="2">
        <v>40</v>
      </c>
      <c r="D21" s="2">
        <v>13.81</v>
      </c>
      <c r="E21" s="2">
        <v>16</v>
      </c>
      <c r="F21" s="2">
        <v>19.87</v>
      </c>
      <c r="G21" s="2">
        <v>6</v>
      </c>
      <c r="H21" s="2">
        <v>23.56</v>
      </c>
      <c r="I21" s="2">
        <v>1</v>
      </c>
      <c r="J21" s="2">
        <v>29.51</v>
      </c>
      <c r="K21" s="3">
        <v>23950472.699999999</v>
      </c>
      <c r="L21" s="3">
        <v>10816201.9</v>
      </c>
      <c r="M21" s="3">
        <v>0</v>
      </c>
    </row>
    <row r="22" spans="1:13" x14ac:dyDescent="0.25">
      <c r="A22" s="1">
        <v>1999</v>
      </c>
      <c r="B22" s="2">
        <v>59</v>
      </c>
      <c r="C22" s="2">
        <v>35</v>
      </c>
      <c r="D22" s="2">
        <v>14.65</v>
      </c>
      <c r="E22" s="2">
        <v>17</v>
      </c>
      <c r="F22" s="2">
        <v>19.64</v>
      </c>
      <c r="G22" s="2">
        <v>6</v>
      </c>
      <c r="H22" s="2">
        <v>23.28</v>
      </c>
      <c r="I22" s="2">
        <v>1</v>
      </c>
      <c r="J22" s="2">
        <v>28.07</v>
      </c>
      <c r="K22" s="3">
        <v>28122611.5</v>
      </c>
      <c r="L22" s="3">
        <v>19745128.899999999</v>
      </c>
      <c r="M22" s="3">
        <v>0</v>
      </c>
    </row>
    <row r="23" spans="1:13" x14ac:dyDescent="0.25">
      <c r="A23" s="1">
        <v>2000</v>
      </c>
      <c r="B23" s="2">
        <v>45</v>
      </c>
      <c r="C23" s="2">
        <v>29</v>
      </c>
      <c r="D23" s="2">
        <v>14.09</v>
      </c>
      <c r="E23" s="2">
        <v>11</v>
      </c>
      <c r="F23" s="2">
        <v>18.45</v>
      </c>
      <c r="G23" s="2">
        <v>3</v>
      </c>
      <c r="H23" s="2">
        <v>21.97</v>
      </c>
      <c r="I23" s="2">
        <v>0</v>
      </c>
      <c r="J23" s="2">
        <v>0</v>
      </c>
      <c r="K23" s="3">
        <v>15528755.6</v>
      </c>
      <c r="L23" s="3">
        <v>5976905.2000000002</v>
      </c>
      <c r="M23" s="3">
        <v>0</v>
      </c>
    </row>
    <row r="24" spans="1:13" x14ac:dyDescent="0.25">
      <c r="A24" s="1">
        <v>2001</v>
      </c>
      <c r="B24" s="2">
        <v>59</v>
      </c>
      <c r="C24" s="2">
        <v>29</v>
      </c>
      <c r="D24" s="2">
        <v>14.65</v>
      </c>
      <c r="E24" s="2">
        <v>15</v>
      </c>
      <c r="F24" s="2">
        <v>19.13</v>
      </c>
      <c r="G24" s="2">
        <v>4</v>
      </c>
      <c r="H24" s="2">
        <v>21.81</v>
      </c>
      <c r="I24" s="2">
        <v>0</v>
      </c>
      <c r="J24" s="2">
        <v>0</v>
      </c>
      <c r="K24" s="3">
        <v>11677118.5</v>
      </c>
      <c r="L24" s="3">
        <v>6172659.2999999998</v>
      </c>
      <c r="M24" s="3">
        <v>0</v>
      </c>
    </row>
    <row r="25" spans="1:13" x14ac:dyDescent="0.25">
      <c r="A25" s="1">
        <v>2002</v>
      </c>
      <c r="B25" s="2">
        <v>45</v>
      </c>
      <c r="C25" s="2">
        <v>27</v>
      </c>
      <c r="D25" s="2">
        <v>14.22</v>
      </c>
      <c r="E25" s="2">
        <v>11</v>
      </c>
      <c r="F25" s="2">
        <v>18.649999999999999</v>
      </c>
      <c r="G25" s="2">
        <v>2</v>
      </c>
      <c r="H25" s="2">
        <v>21.72</v>
      </c>
      <c r="I25" s="2">
        <v>0</v>
      </c>
      <c r="J25" s="2">
        <v>0</v>
      </c>
      <c r="K25" s="3">
        <v>19012414.199999999</v>
      </c>
      <c r="L25" s="3">
        <v>11762066.9</v>
      </c>
      <c r="M25" s="3">
        <v>0</v>
      </c>
    </row>
    <row r="26" spans="1:13" x14ac:dyDescent="0.25">
      <c r="A26" s="1">
        <v>2003</v>
      </c>
      <c r="B26" s="2">
        <v>50</v>
      </c>
      <c r="C26" s="2">
        <v>26</v>
      </c>
      <c r="D26" s="2">
        <v>16.45</v>
      </c>
      <c r="E26" s="2">
        <v>14</v>
      </c>
      <c r="F26" s="2">
        <v>20.28</v>
      </c>
      <c r="G26" s="2">
        <v>7</v>
      </c>
      <c r="H26" s="2">
        <v>22.66</v>
      </c>
      <c r="I26" s="2">
        <v>0</v>
      </c>
      <c r="J26" s="2">
        <v>0</v>
      </c>
      <c r="K26" s="3">
        <v>29011177.199999999</v>
      </c>
      <c r="L26" s="3">
        <v>13244194.699999999</v>
      </c>
      <c r="M26" s="3">
        <v>0</v>
      </c>
    </row>
    <row r="27" spans="1:13" x14ac:dyDescent="0.25">
      <c r="A27" s="1">
        <v>2004</v>
      </c>
      <c r="B27" s="2">
        <v>51</v>
      </c>
      <c r="C27" s="2">
        <v>31</v>
      </c>
      <c r="D27" s="2">
        <v>16.05</v>
      </c>
      <c r="E27" s="2">
        <v>16</v>
      </c>
      <c r="F27" s="2">
        <v>20.190000000000001</v>
      </c>
      <c r="G27" s="2">
        <v>7</v>
      </c>
      <c r="H27" s="2">
        <v>23.69</v>
      </c>
      <c r="I27" s="2">
        <v>2</v>
      </c>
      <c r="J27" s="2">
        <v>29.49</v>
      </c>
      <c r="K27" s="3">
        <v>36000715.200000003</v>
      </c>
      <c r="L27" s="3">
        <v>16814433.5</v>
      </c>
      <c r="M27" s="3">
        <v>0</v>
      </c>
    </row>
    <row r="28" spans="1:13" x14ac:dyDescent="0.25">
      <c r="A28" s="1">
        <v>2005</v>
      </c>
      <c r="B28" s="2">
        <v>48</v>
      </c>
      <c r="C28" s="2">
        <v>25</v>
      </c>
      <c r="D28" s="2">
        <v>15.92</v>
      </c>
      <c r="E28" s="2">
        <v>12</v>
      </c>
      <c r="F28" s="2">
        <v>19.71</v>
      </c>
      <c r="G28" s="2">
        <v>4</v>
      </c>
      <c r="H28" s="2">
        <v>23.72</v>
      </c>
      <c r="I28" s="2">
        <v>2</v>
      </c>
      <c r="J28" s="2">
        <v>25.39</v>
      </c>
      <c r="K28" s="3">
        <v>14329551.300000001</v>
      </c>
      <c r="L28" s="3">
        <v>9101027.5</v>
      </c>
      <c r="M28" s="3">
        <v>0</v>
      </c>
    </row>
    <row r="29" spans="1:13" x14ac:dyDescent="0.25">
      <c r="A29" s="1">
        <v>2006</v>
      </c>
      <c r="B29" s="2">
        <v>69</v>
      </c>
      <c r="C29" s="2">
        <v>35</v>
      </c>
      <c r="D29" s="2">
        <v>14.04</v>
      </c>
      <c r="E29" s="2">
        <v>13</v>
      </c>
      <c r="F29" s="2">
        <v>18.87</v>
      </c>
      <c r="G29" s="2">
        <v>4</v>
      </c>
      <c r="H29" s="2">
        <v>22.64</v>
      </c>
      <c r="I29" s="2">
        <v>0</v>
      </c>
      <c r="J29" s="2">
        <v>0</v>
      </c>
      <c r="K29" s="3">
        <v>22375923.199999999</v>
      </c>
      <c r="L29" s="3">
        <v>11554049.6</v>
      </c>
      <c r="M29" s="3">
        <v>0</v>
      </c>
    </row>
    <row r="30" spans="1:13" x14ac:dyDescent="0.25">
      <c r="A30" s="1">
        <v>2007</v>
      </c>
      <c r="B30" s="2">
        <v>49</v>
      </c>
      <c r="C30" s="2">
        <v>27</v>
      </c>
      <c r="D30" s="2">
        <v>13.92</v>
      </c>
      <c r="E30" s="2">
        <v>13</v>
      </c>
      <c r="F30" s="2">
        <v>18.34</v>
      </c>
      <c r="G30" s="2">
        <v>3</v>
      </c>
      <c r="H30" s="2">
        <v>21.85</v>
      </c>
      <c r="I30" s="2">
        <v>0</v>
      </c>
      <c r="J30" s="2">
        <v>0</v>
      </c>
      <c r="K30" s="3">
        <v>18393283.100000001</v>
      </c>
      <c r="L30" s="3">
        <v>0</v>
      </c>
      <c r="M30" s="3">
        <v>0</v>
      </c>
    </row>
    <row r="31" spans="1:13" x14ac:dyDescent="0.25">
      <c r="A31" s="1">
        <v>2008</v>
      </c>
      <c r="B31" s="2">
        <v>52</v>
      </c>
      <c r="C31" s="2">
        <v>33</v>
      </c>
      <c r="D31" s="2">
        <v>15.98</v>
      </c>
      <c r="E31" s="2">
        <v>20</v>
      </c>
      <c r="F31" s="2">
        <v>18.77</v>
      </c>
      <c r="G31" s="2">
        <v>7</v>
      </c>
      <c r="H31" s="2">
        <v>21.29</v>
      </c>
      <c r="I31" s="2">
        <v>0</v>
      </c>
      <c r="J31" s="2">
        <v>0</v>
      </c>
      <c r="K31" s="3">
        <v>12158250.199999999</v>
      </c>
      <c r="L31" s="3">
        <v>3951954.4</v>
      </c>
      <c r="M31" s="3">
        <v>0</v>
      </c>
    </row>
    <row r="32" spans="1:13" x14ac:dyDescent="0.25">
      <c r="A32" s="1">
        <v>2009</v>
      </c>
      <c r="B32" s="2">
        <v>35</v>
      </c>
      <c r="C32" s="2">
        <v>22</v>
      </c>
      <c r="D32" s="2">
        <v>13.55</v>
      </c>
      <c r="E32" s="2">
        <v>8</v>
      </c>
      <c r="F32" s="2">
        <v>18.41</v>
      </c>
      <c r="G32" s="2">
        <v>0</v>
      </c>
      <c r="H32" s="2">
        <v>0</v>
      </c>
      <c r="I32" s="2">
        <v>0</v>
      </c>
      <c r="J32" s="2">
        <v>0</v>
      </c>
      <c r="K32" s="3">
        <v>5953157.9000000004</v>
      </c>
      <c r="L32" s="3">
        <v>0</v>
      </c>
      <c r="M32" s="3">
        <v>0</v>
      </c>
    </row>
    <row r="33" spans="1:13" x14ac:dyDescent="0.25">
      <c r="A33" s="1">
        <v>2010</v>
      </c>
      <c r="B33" s="2">
        <v>45</v>
      </c>
      <c r="C33" s="2">
        <v>24</v>
      </c>
      <c r="D33" s="2">
        <v>15.2</v>
      </c>
      <c r="E33" s="2">
        <v>11</v>
      </c>
      <c r="F33" s="2">
        <v>19.190000000000001</v>
      </c>
      <c r="G33" s="2">
        <v>3</v>
      </c>
      <c r="H33" s="2">
        <v>22.18</v>
      </c>
      <c r="I33" s="2">
        <v>0</v>
      </c>
      <c r="J33" s="2">
        <v>0</v>
      </c>
      <c r="K33" s="3">
        <v>22136579.399999999</v>
      </c>
      <c r="L33" s="3">
        <v>18693491.5</v>
      </c>
      <c r="M33" s="3">
        <v>0</v>
      </c>
    </row>
    <row r="34" spans="1:13" x14ac:dyDescent="0.25">
      <c r="A34" s="1">
        <v>2011</v>
      </c>
      <c r="B34" s="2">
        <v>56</v>
      </c>
      <c r="C34" s="2">
        <v>27</v>
      </c>
      <c r="D34" s="2">
        <v>16.760000000000002</v>
      </c>
      <c r="E34" s="2">
        <v>14</v>
      </c>
      <c r="F34" s="2">
        <v>20.96</v>
      </c>
      <c r="G34" s="2">
        <v>8</v>
      </c>
      <c r="H34" s="2">
        <v>23.19</v>
      </c>
      <c r="I34" s="2">
        <v>2</v>
      </c>
      <c r="J34" s="2">
        <v>26.45</v>
      </c>
      <c r="K34" s="3">
        <v>16769022.9</v>
      </c>
      <c r="L34" s="3">
        <v>13110191.6</v>
      </c>
      <c r="M34" s="3">
        <v>0</v>
      </c>
    </row>
    <row r="35" spans="1:13" x14ac:dyDescent="0.25">
      <c r="A35" s="1">
        <v>2012</v>
      </c>
      <c r="B35" s="2">
        <v>51</v>
      </c>
      <c r="C35" s="2">
        <v>31</v>
      </c>
      <c r="D35" s="2">
        <v>13.33</v>
      </c>
      <c r="E35" s="2">
        <v>11</v>
      </c>
      <c r="F35" s="2">
        <v>18.61</v>
      </c>
      <c r="G35" s="2">
        <v>4</v>
      </c>
      <c r="H35" s="2">
        <v>21.05</v>
      </c>
      <c r="I35" s="2">
        <v>0</v>
      </c>
      <c r="J35" s="2">
        <v>0</v>
      </c>
      <c r="K35" s="3">
        <v>7367667.4000000004</v>
      </c>
      <c r="L35" s="3">
        <v>6147742.9000000004</v>
      </c>
      <c r="M35" s="3">
        <v>0</v>
      </c>
    </row>
    <row r="36" spans="1:13" x14ac:dyDescent="0.25">
      <c r="A36" s="1">
        <v>2013</v>
      </c>
      <c r="B36" s="2">
        <v>57</v>
      </c>
      <c r="C36" s="2">
        <v>34</v>
      </c>
      <c r="D36" s="2">
        <v>16.95</v>
      </c>
      <c r="E36" s="2">
        <v>21</v>
      </c>
      <c r="F36" s="2">
        <v>20.11</v>
      </c>
      <c r="G36" s="2">
        <v>11</v>
      </c>
      <c r="H36" s="2">
        <v>22.77</v>
      </c>
      <c r="I36" s="2">
        <v>4</v>
      </c>
      <c r="J36" s="2">
        <v>26.24</v>
      </c>
      <c r="K36" s="3">
        <v>19367099.300000001</v>
      </c>
      <c r="L36" s="3">
        <v>9676174.6999999993</v>
      </c>
      <c r="M36" s="3">
        <v>0</v>
      </c>
    </row>
    <row r="37" spans="1:13" x14ac:dyDescent="0.25">
      <c r="A37" s="1">
        <v>2014</v>
      </c>
      <c r="B37" s="2">
        <v>50</v>
      </c>
      <c r="C37" s="2">
        <v>27</v>
      </c>
      <c r="D37" s="2">
        <v>14.61</v>
      </c>
      <c r="E37" s="2">
        <v>12</v>
      </c>
      <c r="F37" s="2">
        <v>19.89</v>
      </c>
      <c r="G37" s="2">
        <v>4</v>
      </c>
      <c r="H37" s="2">
        <v>25.13</v>
      </c>
      <c r="I37" s="2">
        <v>3</v>
      </c>
      <c r="J37" s="2">
        <v>26.25</v>
      </c>
      <c r="K37" s="3">
        <v>24690839.899999999</v>
      </c>
      <c r="L37" s="3">
        <v>22329386.199999999</v>
      </c>
      <c r="M37" s="3">
        <v>5924515.2000000002</v>
      </c>
    </row>
    <row r="38" spans="1:13" x14ac:dyDescent="0.25">
      <c r="A38" s="1">
        <v>2015</v>
      </c>
      <c r="B38" s="2">
        <v>68</v>
      </c>
      <c r="C38" s="2">
        <v>30</v>
      </c>
      <c r="D38" s="2">
        <v>15.4</v>
      </c>
      <c r="E38" s="2">
        <v>13</v>
      </c>
      <c r="F38" s="2">
        <v>20.36</v>
      </c>
      <c r="G38" s="2">
        <v>8</v>
      </c>
      <c r="H38" s="2">
        <v>21.87</v>
      </c>
      <c r="I38" s="2">
        <v>0</v>
      </c>
      <c r="J38" s="2">
        <v>0</v>
      </c>
      <c r="K38" s="3">
        <v>21692482.300000001</v>
      </c>
      <c r="L38" s="3">
        <v>15436959.6</v>
      </c>
      <c r="M38" s="3">
        <v>0</v>
      </c>
    </row>
    <row r="39" spans="1:13" x14ac:dyDescent="0.25">
      <c r="A39" s="1">
        <v>2016</v>
      </c>
      <c r="B39" s="2">
        <v>44</v>
      </c>
      <c r="C39" s="2">
        <v>23</v>
      </c>
      <c r="D39" s="2">
        <v>15.31</v>
      </c>
      <c r="E39" s="2">
        <v>10</v>
      </c>
      <c r="F39" s="2">
        <v>19.690000000000001</v>
      </c>
      <c r="G39" s="2">
        <v>5</v>
      </c>
      <c r="H39" s="2">
        <v>25.51</v>
      </c>
      <c r="I39" s="2">
        <v>1</v>
      </c>
      <c r="J39" s="2">
        <v>28.16</v>
      </c>
      <c r="K39" s="3">
        <v>16783165.600000001</v>
      </c>
      <c r="L39" s="3">
        <v>5978080.4000000004</v>
      </c>
      <c r="M39" s="3">
        <v>0</v>
      </c>
    </row>
    <row r="40" spans="1:13" x14ac:dyDescent="0.25">
      <c r="A40" s="1">
        <v>2017</v>
      </c>
      <c r="B40" s="2">
        <v>56</v>
      </c>
      <c r="C40" s="2">
        <v>23</v>
      </c>
      <c r="D40" s="2">
        <v>14.77</v>
      </c>
      <c r="E40" s="2">
        <v>10</v>
      </c>
      <c r="F40" s="2">
        <v>19.34</v>
      </c>
      <c r="G40" s="2">
        <v>2</v>
      </c>
      <c r="H40" s="2">
        <v>21.07</v>
      </c>
      <c r="I40" s="2">
        <v>0</v>
      </c>
      <c r="J40" s="2">
        <v>0</v>
      </c>
      <c r="K40" s="3">
        <v>8042665.7000000002</v>
      </c>
      <c r="L40" s="3">
        <v>0</v>
      </c>
      <c r="M40" s="3">
        <v>0</v>
      </c>
    </row>
    <row r="41" spans="1:13" x14ac:dyDescent="0.25">
      <c r="A41" s="1">
        <v>2018</v>
      </c>
      <c r="B41" s="2">
        <v>71</v>
      </c>
      <c r="C41" s="2">
        <v>29</v>
      </c>
      <c r="D41" s="2">
        <v>14.57</v>
      </c>
      <c r="E41" s="2">
        <v>13</v>
      </c>
      <c r="F41" s="2">
        <v>19.579999999999998</v>
      </c>
      <c r="G41" s="2">
        <v>5</v>
      </c>
      <c r="H41" s="2">
        <v>22.42</v>
      </c>
      <c r="I41" s="2">
        <v>0</v>
      </c>
      <c r="J41" s="2">
        <v>0</v>
      </c>
      <c r="K41" s="3">
        <v>19312783.18</v>
      </c>
      <c r="L41" s="3">
        <v>10587832.970000001</v>
      </c>
      <c r="M41" s="3">
        <v>0</v>
      </c>
    </row>
    <row r="42" spans="1:13" x14ac:dyDescent="0.25">
      <c r="A42" s="1">
        <v>2019</v>
      </c>
      <c r="B42" s="2">
        <v>92</v>
      </c>
      <c r="C42" s="2">
        <v>43</v>
      </c>
      <c r="D42" s="2">
        <v>14.25</v>
      </c>
      <c r="E42" s="2">
        <v>14</v>
      </c>
      <c r="F42" s="2">
        <v>20.02</v>
      </c>
      <c r="G42" s="2">
        <v>9</v>
      </c>
      <c r="H42" s="2">
        <v>21.7</v>
      </c>
      <c r="I42" s="2">
        <v>0</v>
      </c>
      <c r="J42" s="2">
        <v>0</v>
      </c>
      <c r="K42" s="3">
        <v>26352083.420000002</v>
      </c>
      <c r="L42" s="3">
        <v>10251424.17</v>
      </c>
      <c r="M42" s="3">
        <v>0</v>
      </c>
    </row>
    <row r="43" spans="1:13" x14ac:dyDescent="0.25">
      <c r="A43" s="1">
        <v>2020</v>
      </c>
      <c r="B43" s="2">
        <v>53</v>
      </c>
      <c r="C43" s="2">
        <v>37</v>
      </c>
      <c r="D43" s="2">
        <v>14.79</v>
      </c>
      <c r="E43" s="2">
        <v>16</v>
      </c>
      <c r="F43" s="2">
        <v>19.78</v>
      </c>
      <c r="G43" s="2">
        <v>7</v>
      </c>
      <c r="H43" s="2">
        <v>22.54</v>
      </c>
      <c r="I43" s="2">
        <v>1</v>
      </c>
      <c r="J43" s="2">
        <v>25.36</v>
      </c>
      <c r="K43" s="3">
        <v>16107162.439999999</v>
      </c>
      <c r="L43" s="3">
        <v>8685932.8399999999</v>
      </c>
      <c r="M43" s="3">
        <v>0</v>
      </c>
    </row>
    <row r="44" spans="1:13" x14ac:dyDescent="0.25">
      <c r="A44" s="4" t="s">
        <v>0</v>
      </c>
      <c r="B44" s="5">
        <f xml:space="preserve"> AVERAGEIF(B2:B43,"&gt;0")</f>
        <v>55.80952380952381</v>
      </c>
      <c r="C44" s="5">
        <f t="shared" ref="C44:M44" si="0" xml:space="preserve"> AVERAGEIF(C2:C43,"&gt;0")</f>
        <v>31.095238095238095</v>
      </c>
      <c r="D44" s="5">
        <f t="shared" si="0"/>
        <v>15.04452380952381</v>
      </c>
      <c r="E44" s="5">
        <f t="shared" si="0"/>
        <v>14.404761904761905</v>
      </c>
      <c r="F44" s="5">
        <f t="shared" si="0"/>
        <v>19.510238095238101</v>
      </c>
      <c r="G44" s="5">
        <f t="shared" si="0"/>
        <v>5.5609756097560972</v>
      </c>
      <c r="H44" s="5">
        <f t="shared" si="0"/>
        <v>22.546585365853655</v>
      </c>
      <c r="I44" s="5">
        <f t="shared" si="0"/>
        <v>1.7894736842105263</v>
      </c>
      <c r="J44" s="5">
        <f t="shared" si="0"/>
        <v>27.069473684210521</v>
      </c>
      <c r="K44" s="6">
        <f t="shared" si="0"/>
        <v>19385574.572380953</v>
      </c>
      <c r="L44" s="6">
        <f t="shared" si="0"/>
        <v>12494207.383243242</v>
      </c>
      <c r="M44" s="6">
        <f t="shared" si="0"/>
        <v>11564307.575000001</v>
      </c>
    </row>
    <row r="45" spans="1:13" x14ac:dyDescent="0.25">
      <c r="A45" s="4" t="s">
        <v>1</v>
      </c>
      <c r="B45" s="5">
        <f>SUM(B2:B43)</f>
        <v>2344</v>
      </c>
      <c r="C45" s="5">
        <f>SUM(C2:C43)</f>
        <v>1306</v>
      </c>
      <c r="D45" s="5"/>
      <c r="E45" s="5">
        <f>SUM(E2:E43)</f>
        <v>605</v>
      </c>
      <c r="F45" s="5"/>
      <c r="G45" s="5">
        <f>SUM(G2:G43)</f>
        <v>228</v>
      </c>
      <c r="H45" s="5"/>
      <c r="I45" s="5">
        <f>SUM(I2:I43)</f>
        <v>34</v>
      </c>
      <c r="J45" s="5"/>
      <c r="K45" s="5"/>
      <c r="L45" s="5"/>
      <c r="M45" s="5"/>
    </row>
    <row r="48" spans="1:13" x14ac:dyDescent="0.25">
      <c r="B48" s="7" t="s">
        <v>3</v>
      </c>
      <c r="C48" s="7"/>
      <c r="D48" s="7"/>
      <c r="E48" s="7"/>
      <c r="F48" s="7"/>
      <c r="G48" s="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sqref="A1:M1"/>
    </sheetView>
  </sheetViews>
  <sheetFormatPr defaultRowHeight="15" x14ac:dyDescent="0.25"/>
  <cols>
    <col min="2" max="13" width="16.7109375" customWidth="1"/>
  </cols>
  <sheetData>
    <row r="1" spans="1:13" ht="75" x14ac:dyDescent="0.25">
      <c r="A1" s="1" t="s">
        <v>2</v>
      </c>
      <c r="B1" s="1" t="s">
        <v>10</v>
      </c>
      <c r="C1" s="1" t="s">
        <v>11</v>
      </c>
      <c r="D1" s="1" t="s">
        <v>12</v>
      </c>
      <c r="E1" s="1" t="s">
        <v>16</v>
      </c>
      <c r="F1" s="1" t="s">
        <v>13</v>
      </c>
      <c r="G1" s="1" t="s">
        <v>17</v>
      </c>
      <c r="H1" s="1" t="s">
        <v>14</v>
      </c>
      <c r="I1" s="1" t="s">
        <v>18</v>
      </c>
      <c r="J1" s="1" t="s">
        <v>15</v>
      </c>
      <c r="K1" s="1" t="s">
        <v>6</v>
      </c>
      <c r="L1" s="1" t="s">
        <v>7</v>
      </c>
      <c r="M1" s="1" t="s">
        <v>8</v>
      </c>
    </row>
    <row r="2" spans="1:13" x14ac:dyDescent="0.25">
      <c r="A2" s="1">
        <v>1979</v>
      </c>
      <c r="B2" s="2">
        <v>21</v>
      </c>
      <c r="C2" s="2">
        <v>6</v>
      </c>
      <c r="D2" s="2">
        <v>16.940000000000001</v>
      </c>
      <c r="E2" s="2">
        <v>4</v>
      </c>
      <c r="F2" s="2">
        <v>18.350000000000001</v>
      </c>
      <c r="G2" s="2">
        <v>1</v>
      </c>
      <c r="H2" s="2">
        <v>23.67</v>
      </c>
      <c r="I2" s="2">
        <v>0</v>
      </c>
      <c r="J2" s="2">
        <v>0</v>
      </c>
      <c r="K2" s="3">
        <v>12608767.199999999</v>
      </c>
      <c r="L2" s="3">
        <v>8056993.5999999996</v>
      </c>
      <c r="M2" s="3">
        <v>0</v>
      </c>
    </row>
    <row r="3" spans="1:13" x14ac:dyDescent="0.25">
      <c r="A3" s="1">
        <v>1980</v>
      </c>
      <c r="B3" s="2">
        <v>12</v>
      </c>
      <c r="C3" s="2">
        <v>4</v>
      </c>
      <c r="D3" s="2">
        <v>19.37</v>
      </c>
      <c r="E3" s="2">
        <v>3</v>
      </c>
      <c r="F3" s="2">
        <v>20.67</v>
      </c>
      <c r="G3" s="2">
        <v>2</v>
      </c>
      <c r="H3" s="2">
        <v>21.3</v>
      </c>
      <c r="I3" s="2">
        <v>0</v>
      </c>
      <c r="J3" s="2">
        <v>0</v>
      </c>
      <c r="K3" s="3">
        <v>18545909.899999999</v>
      </c>
      <c r="L3" s="3">
        <v>14099146.699999999</v>
      </c>
      <c r="M3" s="3">
        <v>0</v>
      </c>
    </row>
    <row r="4" spans="1:13" x14ac:dyDescent="0.25">
      <c r="A4" s="1">
        <v>1981</v>
      </c>
      <c r="B4" s="2">
        <v>17</v>
      </c>
      <c r="C4" s="2">
        <v>5</v>
      </c>
      <c r="D4" s="2">
        <v>18.37</v>
      </c>
      <c r="E4" s="2">
        <v>4</v>
      </c>
      <c r="F4" s="2">
        <v>19.39</v>
      </c>
      <c r="G4" s="2">
        <v>2</v>
      </c>
      <c r="H4" s="2">
        <v>21.73</v>
      </c>
      <c r="I4" s="2">
        <v>0</v>
      </c>
      <c r="J4" s="2">
        <v>0</v>
      </c>
      <c r="K4" s="3">
        <v>40867656.200000003</v>
      </c>
      <c r="L4" s="3">
        <v>6040315.7000000002</v>
      </c>
      <c r="M4" s="3">
        <v>0</v>
      </c>
    </row>
    <row r="5" spans="1:13" x14ac:dyDescent="0.25">
      <c r="A5" s="1">
        <v>1982</v>
      </c>
      <c r="B5" s="2">
        <v>15</v>
      </c>
      <c r="C5" s="2">
        <v>3</v>
      </c>
      <c r="D5" s="2">
        <v>13.86</v>
      </c>
      <c r="E5" s="2">
        <v>1</v>
      </c>
      <c r="F5" s="2">
        <v>16.170000000000002</v>
      </c>
      <c r="G5" s="2">
        <v>0</v>
      </c>
      <c r="H5" s="2">
        <v>0</v>
      </c>
      <c r="I5" s="2">
        <v>0</v>
      </c>
      <c r="J5" s="2">
        <v>0</v>
      </c>
      <c r="K5" s="3">
        <v>2921390</v>
      </c>
      <c r="L5" s="3">
        <v>0</v>
      </c>
      <c r="M5" s="3">
        <v>0</v>
      </c>
    </row>
    <row r="6" spans="1:13" x14ac:dyDescent="0.25">
      <c r="A6" s="1">
        <v>1983</v>
      </c>
      <c r="B6" s="2">
        <v>16</v>
      </c>
      <c r="C6" s="2">
        <v>10</v>
      </c>
      <c r="D6" s="2">
        <v>14.81</v>
      </c>
      <c r="E6" s="2">
        <v>4</v>
      </c>
      <c r="F6" s="2">
        <v>18.79</v>
      </c>
      <c r="G6" s="2">
        <v>1</v>
      </c>
      <c r="H6" s="2">
        <v>22.14</v>
      </c>
      <c r="I6" s="2">
        <v>0</v>
      </c>
      <c r="J6" s="2">
        <v>0</v>
      </c>
      <c r="K6" s="3">
        <v>3732423.5</v>
      </c>
      <c r="L6" s="3">
        <v>0</v>
      </c>
      <c r="M6" s="3">
        <v>0</v>
      </c>
    </row>
    <row r="7" spans="1:13" x14ac:dyDescent="0.25">
      <c r="A7" s="1">
        <v>1984</v>
      </c>
      <c r="B7" s="2">
        <v>18</v>
      </c>
      <c r="C7" s="2">
        <v>3</v>
      </c>
      <c r="D7" s="2">
        <v>14.28</v>
      </c>
      <c r="E7" s="2">
        <v>1</v>
      </c>
      <c r="F7" s="2">
        <v>18.73</v>
      </c>
      <c r="G7" s="2">
        <v>0</v>
      </c>
      <c r="H7" s="2">
        <v>0</v>
      </c>
      <c r="I7" s="2">
        <v>0</v>
      </c>
      <c r="J7" s="2">
        <v>0</v>
      </c>
      <c r="K7" s="3">
        <v>0</v>
      </c>
      <c r="L7" s="3">
        <v>0</v>
      </c>
      <c r="M7" s="3">
        <v>0</v>
      </c>
    </row>
    <row r="8" spans="1:13" x14ac:dyDescent="0.25">
      <c r="A8" s="1">
        <v>1985</v>
      </c>
      <c r="B8" s="2">
        <v>18</v>
      </c>
      <c r="C8" s="2">
        <v>6</v>
      </c>
      <c r="D8" s="2">
        <v>16.18</v>
      </c>
      <c r="E8" s="2">
        <v>3</v>
      </c>
      <c r="F8" s="2">
        <v>18.260000000000002</v>
      </c>
      <c r="G8" s="2">
        <v>0</v>
      </c>
      <c r="H8" s="2">
        <v>0</v>
      </c>
      <c r="I8" s="2">
        <v>0</v>
      </c>
      <c r="J8" s="2">
        <v>0</v>
      </c>
      <c r="K8" s="3">
        <v>0</v>
      </c>
      <c r="L8" s="3">
        <v>0</v>
      </c>
      <c r="M8" s="3">
        <v>0</v>
      </c>
    </row>
    <row r="9" spans="1:13" x14ac:dyDescent="0.25">
      <c r="A9" s="1">
        <v>1986</v>
      </c>
      <c r="B9" s="2">
        <v>16</v>
      </c>
      <c r="C9" s="2">
        <v>7</v>
      </c>
      <c r="D9" s="2">
        <v>14.73</v>
      </c>
      <c r="E9" s="2">
        <v>2</v>
      </c>
      <c r="F9" s="2">
        <v>20.55</v>
      </c>
      <c r="G9" s="2">
        <v>1</v>
      </c>
      <c r="H9" s="2">
        <v>23.54</v>
      </c>
      <c r="I9" s="2">
        <v>0</v>
      </c>
      <c r="J9" s="2">
        <v>0</v>
      </c>
      <c r="K9" s="3">
        <v>13341765.800000001</v>
      </c>
      <c r="L9" s="3">
        <v>0</v>
      </c>
      <c r="M9" s="3">
        <v>0</v>
      </c>
    </row>
    <row r="10" spans="1:13" x14ac:dyDescent="0.25">
      <c r="A10" s="1">
        <v>1987</v>
      </c>
      <c r="B10" s="2">
        <v>22</v>
      </c>
      <c r="C10" s="2">
        <v>7</v>
      </c>
      <c r="D10" s="2">
        <v>14.22</v>
      </c>
      <c r="E10" s="2">
        <v>3</v>
      </c>
      <c r="F10" s="2">
        <v>16.25</v>
      </c>
      <c r="G10" s="2">
        <v>0</v>
      </c>
      <c r="H10" s="2">
        <v>0</v>
      </c>
      <c r="I10" s="2">
        <v>0</v>
      </c>
      <c r="J10" s="2">
        <v>0</v>
      </c>
      <c r="K10" s="3">
        <v>0</v>
      </c>
      <c r="L10" s="3">
        <v>0</v>
      </c>
      <c r="M10" s="3">
        <v>0</v>
      </c>
    </row>
    <row r="11" spans="1:13" x14ac:dyDescent="0.25">
      <c r="A11" s="1">
        <v>1988</v>
      </c>
      <c r="B11" s="2">
        <v>12</v>
      </c>
      <c r="C11" s="2">
        <v>3</v>
      </c>
      <c r="D11" s="2">
        <v>13.23</v>
      </c>
      <c r="E11" s="2">
        <v>1</v>
      </c>
      <c r="F11" s="2">
        <v>15.97</v>
      </c>
      <c r="G11" s="2">
        <v>0</v>
      </c>
      <c r="H11" s="2">
        <v>0</v>
      </c>
      <c r="I11" s="2">
        <v>0</v>
      </c>
      <c r="J11" s="2">
        <v>0</v>
      </c>
      <c r="K11" s="3">
        <v>0</v>
      </c>
      <c r="L11" s="3">
        <v>0</v>
      </c>
      <c r="M11" s="3">
        <v>0</v>
      </c>
    </row>
    <row r="12" spans="1:13" x14ac:dyDescent="0.25">
      <c r="A12" s="1">
        <v>1989</v>
      </c>
      <c r="B12" s="2">
        <v>14</v>
      </c>
      <c r="C12" s="2">
        <v>3</v>
      </c>
      <c r="D12" s="2">
        <v>15.19</v>
      </c>
      <c r="E12" s="2">
        <v>1</v>
      </c>
      <c r="F12" s="2">
        <v>17.440000000000001</v>
      </c>
      <c r="G12" s="2">
        <v>0</v>
      </c>
      <c r="H12" s="2">
        <v>0</v>
      </c>
      <c r="I12" s="2">
        <v>0</v>
      </c>
      <c r="J12" s="2">
        <v>0</v>
      </c>
      <c r="K12" s="3">
        <v>0</v>
      </c>
      <c r="L12" s="3">
        <v>0</v>
      </c>
      <c r="M12" s="3">
        <v>0</v>
      </c>
    </row>
    <row r="13" spans="1:13" x14ac:dyDescent="0.25">
      <c r="A13" s="1">
        <v>1990</v>
      </c>
      <c r="B13" s="2">
        <v>25</v>
      </c>
      <c r="C13" s="2">
        <v>12</v>
      </c>
      <c r="D13" s="2">
        <v>16.559999999999999</v>
      </c>
      <c r="E13" s="2">
        <v>7</v>
      </c>
      <c r="F13" s="2">
        <v>18.62</v>
      </c>
      <c r="G13" s="2">
        <v>1</v>
      </c>
      <c r="H13" s="2">
        <v>20.83</v>
      </c>
      <c r="I13" s="2">
        <v>0</v>
      </c>
      <c r="J13" s="2">
        <v>0</v>
      </c>
      <c r="K13" s="3">
        <v>3349921.9</v>
      </c>
      <c r="L13" s="3">
        <v>0</v>
      </c>
      <c r="M13" s="3">
        <v>0</v>
      </c>
    </row>
    <row r="14" spans="1:13" x14ac:dyDescent="0.25">
      <c r="A14" s="1">
        <v>1991</v>
      </c>
      <c r="B14" s="2">
        <v>10</v>
      </c>
      <c r="C14" s="2">
        <v>1</v>
      </c>
      <c r="D14" s="2">
        <v>9.5299999999999994</v>
      </c>
      <c r="E14" s="2">
        <v>0</v>
      </c>
      <c r="F14" s="2">
        <v>0</v>
      </c>
      <c r="G14" s="2">
        <v>0</v>
      </c>
      <c r="H14" s="2">
        <v>0</v>
      </c>
      <c r="I14" s="2">
        <v>0</v>
      </c>
      <c r="J14" s="2">
        <v>0</v>
      </c>
      <c r="K14" s="3">
        <v>0</v>
      </c>
      <c r="L14" s="3">
        <v>0</v>
      </c>
      <c r="M14" s="3">
        <v>0</v>
      </c>
    </row>
    <row r="15" spans="1:13" x14ac:dyDescent="0.25">
      <c r="A15" s="1">
        <v>1992</v>
      </c>
      <c r="B15" s="2">
        <v>16</v>
      </c>
      <c r="C15" s="2">
        <v>4</v>
      </c>
      <c r="D15" s="2">
        <v>15.29</v>
      </c>
      <c r="E15" s="2">
        <v>3</v>
      </c>
      <c r="F15" s="2">
        <v>17.62</v>
      </c>
      <c r="G15" s="2">
        <v>0</v>
      </c>
      <c r="H15" s="2">
        <v>0</v>
      </c>
      <c r="I15" s="2">
        <v>0</v>
      </c>
      <c r="J15" s="2">
        <v>0</v>
      </c>
      <c r="K15" s="3">
        <v>0</v>
      </c>
      <c r="L15" s="3">
        <v>0</v>
      </c>
      <c r="M15" s="3">
        <v>0</v>
      </c>
    </row>
    <row r="16" spans="1:13" x14ac:dyDescent="0.25">
      <c r="A16" s="1">
        <v>1993</v>
      </c>
      <c r="B16" s="2">
        <v>16</v>
      </c>
      <c r="C16" s="2">
        <v>4</v>
      </c>
      <c r="D16" s="2">
        <v>15.45</v>
      </c>
      <c r="E16" s="2">
        <v>1</v>
      </c>
      <c r="F16" s="2">
        <v>18.22</v>
      </c>
      <c r="G16" s="2">
        <v>0</v>
      </c>
      <c r="H16" s="2">
        <v>0</v>
      </c>
      <c r="I16" s="2">
        <v>0</v>
      </c>
      <c r="J16" s="2">
        <v>0</v>
      </c>
      <c r="K16" s="3">
        <v>3329407.4</v>
      </c>
      <c r="L16" s="3">
        <v>0</v>
      </c>
      <c r="M16" s="3">
        <v>0</v>
      </c>
    </row>
    <row r="17" spans="1:13" x14ac:dyDescent="0.25">
      <c r="A17" s="1">
        <v>1994</v>
      </c>
      <c r="B17" s="2">
        <v>12</v>
      </c>
      <c r="C17" s="2">
        <v>5</v>
      </c>
      <c r="D17" s="2">
        <v>16.05</v>
      </c>
      <c r="E17" s="2">
        <v>3</v>
      </c>
      <c r="F17" s="2">
        <v>17.53</v>
      </c>
      <c r="G17" s="2">
        <v>1</v>
      </c>
      <c r="H17" s="2">
        <v>20.75</v>
      </c>
      <c r="I17" s="2">
        <v>0</v>
      </c>
      <c r="J17" s="2">
        <v>0</v>
      </c>
      <c r="K17" s="3">
        <v>3701721</v>
      </c>
      <c r="L17" s="3">
        <v>0</v>
      </c>
      <c r="M17" s="3">
        <v>0</v>
      </c>
    </row>
    <row r="18" spans="1:13" x14ac:dyDescent="0.25">
      <c r="A18" s="1">
        <v>1995</v>
      </c>
      <c r="B18" s="2">
        <v>18</v>
      </c>
      <c r="C18" s="2">
        <v>8</v>
      </c>
      <c r="D18" s="2">
        <v>15.15</v>
      </c>
      <c r="E18" s="2">
        <v>4</v>
      </c>
      <c r="F18" s="2">
        <v>18.23</v>
      </c>
      <c r="G18" s="2">
        <v>2</v>
      </c>
      <c r="H18" s="2">
        <v>20.28</v>
      </c>
      <c r="I18" s="2">
        <v>0</v>
      </c>
      <c r="J18" s="2">
        <v>0</v>
      </c>
      <c r="K18" s="3">
        <v>0</v>
      </c>
      <c r="L18" s="3">
        <v>0</v>
      </c>
      <c r="M18" s="3">
        <v>0</v>
      </c>
    </row>
    <row r="19" spans="1:13" x14ac:dyDescent="0.25">
      <c r="A19" s="1">
        <v>1996</v>
      </c>
      <c r="B19" s="2">
        <v>17</v>
      </c>
      <c r="C19" s="2">
        <v>9</v>
      </c>
      <c r="D19" s="2">
        <v>14.74</v>
      </c>
      <c r="E19" s="2">
        <v>5</v>
      </c>
      <c r="F19" s="2">
        <v>17.350000000000001</v>
      </c>
      <c r="G19" s="2">
        <v>1</v>
      </c>
      <c r="H19" s="2">
        <v>20.45</v>
      </c>
      <c r="I19" s="2">
        <v>0</v>
      </c>
      <c r="J19" s="2">
        <v>0</v>
      </c>
      <c r="K19" s="3">
        <v>6052693.5999999996</v>
      </c>
      <c r="L19" s="3">
        <v>0</v>
      </c>
      <c r="M19" s="3">
        <v>0</v>
      </c>
    </row>
    <row r="20" spans="1:13" x14ac:dyDescent="0.25">
      <c r="A20" s="1">
        <v>1997</v>
      </c>
      <c r="B20" s="2">
        <v>19</v>
      </c>
      <c r="C20" s="2">
        <v>4</v>
      </c>
      <c r="D20" s="2">
        <v>15.5</v>
      </c>
      <c r="E20" s="2">
        <v>2</v>
      </c>
      <c r="F20" s="2">
        <v>17.489999999999998</v>
      </c>
      <c r="G20" s="2">
        <v>0</v>
      </c>
      <c r="H20" s="2">
        <v>0</v>
      </c>
      <c r="I20" s="2">
        <v>0</v>
      </c>
      <c r="J20" s="2">
        <v>0</v>
      </c>
      <c r="K20" s="3">
        <v>3391044.9</v>
      </c>
      <c r="L20" s="3">
        <v>0</v>
      </c>
      <c r="M20" s="3">
        <v>0</v>
      </c>
    </row>
    <row r="21" spans="1:13" x14ac:dyDescent="0.25">
      <c r="A21" s="1">
        <v>1998</v>
      </c>
      <c r="B21" s="2">
        <v>18</v>
      </c>
      <c r="C21" s="2">
        <v>7</v>
      </c>
      <c r="D21" s="2">
        <v>14.78</v>
      </c>
      <c r="E21" s="2">
        <v>3</v>
      </c>
      <c r="F21" s="2">
        <v>16.440000000000001</v>
      </c>
      <c r="G21" s="2">
        <v>0</v>
      </c>
      <c r="H21" s="2">
        <v>0</v>
      </c>
      <c r="I21" s="2">
        <v>0</v>
      </c>
      <c r="J21" s="2">
        <v>0</v>
      </c>
      <c r="K21" s="3">
        <v>3450072.2</v>
      </c>
      <c r="L21" s="3">
        <v>0</v>
      </c>
      <c r="M21" s="3">
        <v>0</v>
      </c>
    </row>
    <row r="22" spans="1:13" x14ac:dyDescent="0.25">
      <c r="A22" s="1">
        <v>1999</v>
      </c>
      <c r="B22" s="2">
        <v>14</v>
      </c>
      <c r="C22" s="2">
        <v>4</v>
      </c>
      <c r="D22" s="2">
        <v>16.55</v>
      </c>
      <c r="E22" s="2">
        <v>3</v>
      </c>
      <c r="F22" s="2">
        <v>17.57</v>
      </c>
      <c r="G22" s="2">
        <v>0</v>
      </c>
      <c r="H22" s="2">
        <v>0</v>
      </c>
      <c r="I22" s="2">
        <v>0</v>
      </c>
      <c r="J22" s="2">
        <v>0</v>
      </c>
      <c r="K22" s="3">
        <v>6557295.9000000004</v>
      </c>
      <c r="L22" s="3">
        <v>0</v>
      </c>
      <c r="M22" s="3">
        <v>0</v>
      </c>
    </row>
    <row r="23" spans="1:13" x14ac:dyDescent="0.25">
      <c r="A23" s="1">
        <v>2000</v>
      </c>
      <c r="B23" s="2">
        <v>27</v>
      </c>
      <c r="C23" s="2">
        <v>7</v>
      </c>
      <c r="D23" s="2">
        <v>16.02</v>
      </c>
      <c r="E23" s="2">
        <v>4</v>
      </c>
      <c r="F23" s="2">
        <v>17.649999999999999</v>
      </c>
      <c r="G23" s="2">
        <v>1</v>
      </c>
      <c r="H23" s="2">
        <v>21.17</v>
      </c>
      <c r="I23" s="2">
        <v>0</v>
      </c>
      <c r="J23" s="2">
        <v>0</v>
      </c>
      <c r="K23" s="3">
        <v>4383825.8</v>
      </c>
      <c r="L23" s="3">
        <v>0</v>
      </c>
      <c r="M23" s="3">
        <v>0</v>
      </c>
    </row>
    <row r="24" spans="1:13" x14ac:dyDescent="0.25">
      <c r="A24" s="1">
        <v>2001</v>
      </c>
      <c r="B24" s="2">
        <v>14</v>
      </c>
      <c r="C24" s="2">
        <v>6</v>
      </c>
      <c r="D24" s="2">
        <v>15.99</v>
      </c>
      <c r="E24" s="2">
        <v>2</v>
      </c>
      <c r="F24" s="2">
        <v>20.75</v>
      </c>
      <c r="G24" s="2">
        <v>2</v>
      </c>
      <c r="H24" s="2">
        <v>20.75</v>
      </c>
      <c r="I24" s="2">
        <v>0</v>
      </c>
      <c r="J24" s="2">
        <v>0</v>
      </c>
      <c r="K24" s="3">
        <v>15729512.6</v>
      </c>
      <c r="L24" s="3">
        <v>0</v>
      </c>
      <c r="M24" s="3">
        <v>0</v>
      </c>
    </row>
    <row r="25" spans="1:13" x14ac:dyDescent="0.25">
      <c r="A25" s="1">
        <v>2002</v>
      </c>
      <c r="B25" s="2">
        <v>21</v>
      </c>
      <c r="C25" s="2">
        <v>10</v>
      </c>
      <c r="D25" s="2">
        <v>15.13</v>
      </c>
      <c r="E25" s="2">
        <v>3</v>
      </c>
      <c r="F25" s="2">
        <v>18.57</v>
      </c>
      <c r="G25" s="2">
        <v>1</v>
      </c>
      <c r="H25" s="2">
        <v>21.85</v>
      </c>
      <c r="I25" s="2">
        <v>0</v>
      </c>
      <c r="J25" s="2">
        <v>0</v>
      </c>
      <c r="K25" s="3">
        <v>16184850.4</v>
      </c>
      <c r="L25" s="3">
        <v>7962187.5999999996</v>
      </c>
      <c r="M25" s="3">
        <v>0</v>
      </c>
    </row>
    <row r="26" spans="1:13" x14ac:dyDescent="0.25">
      <c r="A26" s="1">
        <v>2003</v>
      </c>
      <c r="B26" s="2">
        <v>17</v>
      </c>
      <c r="C26" s="2">
        <v>8</v>
      </c>
      <c r="D26" s="2">
        <v>12.26</v>
      </c>
      <c r="E26" s="2">
        <v>0</v>
      </c>
      <c r="F26" s="2">
        <v>0</v>
      </c>
      <c r="G26" s="2">
        <v>0</v>
      </c>
      <c r="H26" s="2">
        <v>0</v>
      </c>
      <c r="I26" s="2">
        <v>0</v>
      </c>
      <c r="J26" s="2">
        <v>0</v>
      </c>
      <c r="K26" s="3">
        <v>0</v>
      </c>
      <c r="L26" s="3">
        <v>0</v>
      </c>
      <c r="M26" s="3">
        <v>0</v>
      </c>
    </row>
    <row r="27" spans="1:13" x14ac:dyDescent="0.25">
      <c r="A27" s="1">
        <v>2004</v>
      </c>
      <c r="B27" s="2">
        <v>10</v>
      </c>
      <c r="C27" s="2">
        <v>3</v>
      </c>
      <c r="D27" s="2">
        <v>13.33</v>
      </c>
      <c r="E27" s="2">
        <v>1</v>
      </c>
      <c r="F27" s="2">
        <v>17.149999999999999</v>
      </c>
      <c r="G27" s="2">
        <v>0</v>
      </c>
      <c r="H27" s="2">
        <v>0</v>
      </c>
      <c r="I27" s="2">
        <v>0</v>
      </c>
      <c r="J27" s="2">
        <v>0</v>
      </c>
      <c r="K27" s="3">
        <v>0</v>
      </c>
      <c r="L27" s="3">
        <v>0</v>
      </c>
      <c r="M27" s="3">
        <v>0</v>
      </c>
    </row>
    <row r="28" spans="1:13" x14ac:dyDescent="0.25">
      <c r="A28" s="1">
        <v>2005</v>
      </c>
      <c r="B28" s="2">
        <v>14</v>
      </c>
      <c r="C28" s="2">
        <v>6</v>
      </c>
      <c r="D28" s="2">
        <v>15.67</v>
      </c>
      <c r="E28" s="2">
        <v>4</v>
      </c>
      <c r="F28" s="2">
        <v>17.899999999999999</v>
      </c>
      <c r="G28" s="2">
        <v>0</v>
      </c>
      <c r="H28" s="2">
        <v>0</v>
      </c>
      <c r="I28" s="2">
        <v>0</v>
      </c>
      <c r="J28" s="2">
        <v>0</v>
      </c>
      <c r="K28" s="3">
        <v>3597351.8</v>
      </c>
      <c r="L28" s="3">
        <v>0</v>
      </c>
      <c r="M28" s="3">
        <v>0</v>
      </c>
    </row>
    <row r="29" spans="1:13" x14ac:dyDescent="0.25">
      <c r="A29" s="1">
        <v>2006</v>
      </c>
      <c r="B29" s="2">
        <v>19</v>
      </c>
      <c r="C29" s="2">
        <v>11</v>
      </c>
      <c r="D29" s="2">
        <v>17.18</v>
      </c>
      <c r="E29" s="2">
        <v>8</v>
      </c>
      <c r="F29" s="2">
        <v>18.98</v>
      </c>
      <c r="G29" s="2">
        <v>3</v>
      </c>
      <c r="H29" s="2">
        <v>20.93</v>
      </c>
      <c r="I29" s="2">
        <v>0</v>
      </c>
      <c r="J29" s="2">
        <v>0</v>
      </c>
      <c r="K29" s="3">
        <v>8386677.4000000004</v>
      </c>
      <c r="L29" s="3">
        <v>6568812.7000000002</v>
      </c>
      <c r="M29" s="3">
        <v>0</v>
      </c>
    </row>
    <row r="30" spans="1:13" x14ac:dyDescent="0.25">
      <c r="A30" s="1">
        <v>2007</v>
      </c>
      <c r="B30" s="2">
        <v>14</v>
      </c>
      <c r="C30" s="2">
        <v>3</v>
      </c>
      <c r="D30" s="2">
        <v>16.16</v>
      </c>
      <c r="E30" s="2">
        <v>2</v>
      </c>
      <c r="F30" s="2">
        <v>18.37</v>
      </c>
      <c r="G30" s="2">
        <v>0</v>
      </c>
      <c r="H30" s="2">
        <v>0</v>
      </c>
      <c r="I30" s="2">
        <v>0</v>
      </c>
      <c r="J30" s="2">
        <v>0</v>
      </c>
      <c r="K30" s="3">
        <v>2956297</v>
      </c>
      <c r="L30" s="3">
        <v>0</v>
      </c>
      <c r="M30" s="3">
        <v>0</v>
      </c>
    </row>
    <row r="31" spans="1:13" x14ac:dyDescent="0.25">
      <c r="A31" s="1">
        <v>2008</v>
      </c>
      <c r="B31" s="2">
        <v>21</v>
      </c>
      <c r="C31" s="2">
        <v>3</v>
      </c>
      <c r="D31" s="2">
        <v>16.86</v>
      </c>
      <c r="E31" s="2">
        <v>2</v>
      </c>
      <c r="F31" s="2">
        <v>17.78</v>
      </c>
      <c r="G31" s="2">
        <v>0</v>
      </c>
      <c r="H31" s="2">
        <v>0</v>
      </c>
      <c r="I31" s="2">
        <v>0</v>
      </c>
      <c r="J31" s="2">
        <v>0</v>
      </c>
      <c r="K31" s="3">
        <v>35861902.899999999</v>
      </c>
      <c r="L31" s="3">
        <v>0</v>
      </c>
      <c r="M31" s="3">
        <v>0</v>
      </c>
    </row>
    <row r="32" spans="1:13" x14ac:dyDescent="0.25">
      <c r="A32" s="1">
        <v>2009</v>
      </c>
      <c r="B32" s="2">
        <v>35</v>
      </c>
      <c r="C32" s="2">
        <v>7</v>
      </c>
      <c r="D32" s="2">
        <v>17.12</v>
      </c>
      <c r="E32" s="2">
        <v>6</v>
      </c>
      <c r="F32" s="2">
        <v>17.510000000000002</v>
      </c>
      <c r="G32" s="2">
        <v>1</v>
      </c>
      <c r="H32" s="2">
        <v>20.97</v>
      </c>
      <c r="I32" s="2">
        <v>0</v>
      </c>
      <c r="J32" s="2">
        <v>0</v>
      </c>
      <c r="K32" s="3">
        <v>4350645.3</v>
      </c>
      <c r="L32" s="3">
        <v>0</v>
      </c>
      <c r="M32" s="3">
        <v>0</v>
      </c>
    </row>
    <row r="33" spans="1:13" x14ac:dyDescent="0.25">
      <c r="A33" s="1">
        <v>2010</v>
      </c>
      <c r="B33" s="2">
        <v>20</v>
      </c>
      <c r="C33" s="2">
        <v>4</v>
      </c>
      <c r="D33" s="2">
        <v>13.17</v>
      </c>
      <c r="E33" s="2">
        <v>0</v>
      </c>
      <c r="F33" s="2">
        <v>0</v>
      </c>
      <c r="G33" s="2">
        <v>0</v>
      </c>
      <c r="H33" s="2">
        <v>0</v>
      </c>
      <c r="I33" s="2">
        <v>0</v>
      </c>
      <c r="J33" s="2">
        <v>0</v>
      </c>
      <c r="K33" s="3">
        <v>0</v>
      </c>
      <c r="L33" s="3">
        <v>0</v>
      </c>
      <c r="M33" s="3">
        <v>0</v>
      </c>
    </row>
    <row r="34" spans="1:13" x14ac:dyDescent="0.25">
      <c r="A34" s="1">
        <v>2011</v>
      </c>
      <c r="B34" s="2">
        <v>20</v>
      </c>
      <c r="C34" s="2">
        <v>10</v>
      </c>
      <c r="D34" s="2">
        <v>14.96</v>
      </c>
      <c r="E34" s="2">
        <v>5</v>
      </c>
      <c r="F34" s="2">
        <v>18.32</v>
      </c>
      <c r="G34" s="2">
        <v>1</v>
      </c>
      <c r="H34" s="2">
        <v>20.99</v>
      </c>
      <c r="I34" s="2">
        <v>0</v>
      </c>
      <c r="J34" s="2">
        <v>0</v>
      </c>
      <c r="K34" s="3">
        <v>5085796.7</v>
      </c>
      <c r="L34" s="3">
        <v>0</v>
      </c>
      <c r="M34" s="3">
        <v>0</v>
      </c>
    </row>
    <row r="35" spans="1:13" x14ac:dyDescent="0.25">
      <c r="A35" s="1">
        <v>2012</v>
      </c>
      <c r="B35" s="2">
        <v>25</v>
      </c>
      <c r="C35" s="2">
        <v>8</v>
      </c>
      <c r="D35" s="2">
        <v>15.96</v>
      </c>
      <c r="E35" s="2">
        <v>4</v>
      </c>
      <c r="F35" s="2">
        <v>18.79</v>
      </c>
      <c r="G35" s="2">
        <v>1</v>
      </c>
      <c r="H35" s="2">
        <v>21.39</v>
      </c>
      <c r="I35" s="2">
        <v>0</v>
      </c>
      <c r="J35" s="2">
        <v>0</v>
      </c>
      <c r="K35" s="3">
        <v>3185459</v>
      </c>
      <c r="L35" s="3">
        <v>0</v>
      </c>
      <c r="M35" s="3">
        <v>0</v>
      </c>
    </row>
    <row r="36" spans="1:13" x14ac:dyDescent="0.25">
      <c r="A36" s="1">
        <v>2013</v>
      </c>
      <c r="B36" s="2">
        <v>20</v>
      </c>
      <c r="C36" s="2">
        <v>8</v>
      </c>
      <c r="D36" s="2">
        <v>14.86</v>
      </c>
      <c r="E36" s="2">
        <v>3</v>
      </c>
      <c r="F36" s="2">
        <v>17.21</v>
      </c>
      <c r="G36" s="2">
        <v>0</v>
      </c>
      <c r="H36" s="2">
        <v>0</v>
      </c>
      <c r="I36" s="2">
        <v>0</v>
      </c>
      <c r="J36" s="2">
        <v>0</v>
      </c>
      <c r="K36" s="3">
        <v>3299447.4</v>
      </c>
      <c r="L36" s="3">
        <v>0</v>
      </c>
      <c r="M36" s="3">
        <v>0</v>
      </c>
    </row>
    <row r="37" spans="1:13" x14ac:dyDescent="0.25">
      <c r="A37" s="1">
        <v>2014</v>
      </c>
      <c r="B37" s="2">
        <v>19</v>
      </c>
      <c r="C37" s="2">
        <v>4</v>
      </c>
      <c r="D37" s="2">
        <v>19.77</v>
      </c>
      <c r="E37" s="2">
        <v>4</v>
      </c>
      <c r="F37" s="2">
        <v>19.77</v>
      </c>
      <c r="G37" s="2">
        <v>2</v>
      </c>
      <c r="H37" s="2">
        <v>21.53</v>
      </c>
      <c r="I37" s="2">
        <v>0</v>
      </c>
      <c r="J37" s="2">
        <v>0</v>
      </c>
      <c r="K37" s="3">
        <v>3819829.5</v>
      </c>
      <c r="L37" s="3">
        <v>0</v>
      </c>
      <c r="M37" s="3">
        <v>0</v>
      </c>
    </row>
    <row r="38" spans="1:13" x14ac:dyDescent="0.25">
      <c r="A38" s="1">
        <v>2015</v>
      </c>
      <c r="B38" s="2">
        <v>21</v>
      </c>
      <c r="C38" s="2">
        <v>6</v>
      </c>
      <c r="D38" s="2">
        <v>16.27</v>
      </c>
      <c r="E38" s="2">
        <v>4</v>
      </c>
      <c r="F38" s="2">
        <v>16.72</v>
      </c>
      <c r="G38" s="2">
        <v>0</v>
      </c>
      <c r="H38" s="2">
        <v>0</v>
      </c>
      <c r="I38" s="2">
        <v>0</v>
      </c>
      <c r="J38" s="2">
        <v>0</v>
      </c>
      <c r="K38" s="3">
        <v>3371823.2</v>
      </c>
      <c r="L38" s="3">
        <v>0</v>
      </c>
      <c r="M38" s="3">
        <v>0</v>
      </c>
    </row>
    <row r="39" spans="1:13" x14ac:dyDescent="0.25">
      <c r="A39" s="1">
        <v>2016</v>
      </c>
      <c r="B39" s="2">
        <v>15</v>
      </c>
      <c r="C39" s="2">
        <v>8</v>
      </c>
      <c r="D39" s="2">
        <v>15.48</v>
      </c>
      <c r="E39" s="2">
        <v>4</v>
      </c>
      <c r="F39" s="2">
        <v>18.46</v>
      </c>
      <c r="G39" s="2">
        <v>0</v>
      </c>
      <c r="H39" s="2">
        <v>0</v>
      </c>
      <c r="I39" s="2">
        <v>0</v>
      </c>
      <c r="J39" s="2">
        <v>0</v>
      </c>
      <c r="K39" s="3">
        <v>6236854.2000000002</v>
      </c>
      <c r="L39" s="3">
        <v>0</v>
      </c>
      <c r="M39" s="3">
        <v>0</v>
      </c>
    </row>
    <row r="40" spans="1:13" x14ac:dyDescent="0.25">
      <c r="A40" s="1">
        <v>2017</v>
      </c>
      <c r="B40" s="2">
        <v>21</v>
      </c>
      <c r="C40" s="2">
        <v>5</v>
      </c>
      <c r="D40" s="2">
        <v>17.22</v>
      </c>
      <c r="E40" s="2">
        <v>4</v>
      </c>
      <c r="F40" s="2">
        <v>17.98</v>
      </c>
      <c r="G40" s="2">
        <v>0</v>
      </c>
      <c r="H40" s="2">
        <v>0</v>
      </c>
      <c r="I40" s="2">
        <v>0</v>
      </c>
      <c r="J40" s="2">
        <v>0</v>
      </c>
      <c r="K40" s="3">
        <v>2839012.7</v>
      </c>
      <c r="L40" s="3">
        <v>0</v>
      </c>
      <c r="M40" s="3">
        <v>0</v>
      </c>
    </row>
    <row r="41" spans="1:13" x14ac:dyDescent="0.25">
      <c r="A41" s="1">
        <v>2018</v>
      </c>
      <c r="B41" s="2">
        <v>20</v>
      </c>
      <c r="C41" s="2">
        <v>5</v>
      </c>
      <c r="D41" s="2">
        <v>16.600000000000001</v>
      </c>
      <c r="E41" s="2">
        <v>2</v>
      </c>
      <c r="F41" s="2">
        <v>19.57</v>
      </c>
      <c r="G41" s="2">
        <v>1</v>
      </c>
      <c r="H41" s="2">
        <v>20.85</v>
      </c>
      <c r="I41" s="2">
        <v>0</v>
      </c>
      <c r="J41" s="2">
        <v>0</v>
      </c>
      <c r="K41" s="3">
        <v>0</v>
      </c>
      <c r="L41" s="3">
        <v>0</v>
      </c>
      <c r="M41" s="3">
        <v>0</v>
      </c>
    </row>
    <row r="42" spans="1:13" x14ac:dyDescent="0.25">
      <c r="A42" s="1">
        <v>2019</v>
      </c>
      <c r="B42" s="2">
        <v>15</v>
      </c>
      <c r="C42" s="2">
        <v>8</v>
      </c>
      <c r="D42" s="2">
        <v>15.64</v>
      </c>
      <c r="E42" s="2">
        <v>3</v>
      </c>
      <c r="F42" s="2">
        <v>20.09</v>
      </c>
      <c r="G42" s="2">
        <v>2</v>
      </c>
      <c r="H42" s="2">
        <v>21.4</v>
      </c>
      <c r="I42" s="2">
        <v>0</v>
      </c>
      <c r="J42" s="2">
        <v>0</v>
      </c>
      <c r="K42" s="3">
        <v>10043179.789999999</v>
      </c>
      <c r="L42" s="3">
        <v>6653230.29</v>
      </c>
      <c r="M42" s="3">
        <v>0</v>
      </c>
    </row>
    <row r="43" spans="1:13" x14ac:dyDescent="0.25">
      <c r="A43" s="1">
        <v>2020</v>
      </c>
      <c r="B43" s="2">
        <v>14</v>
      </c>
      <c r="C43" s="2">
        <v>5</v>
      </c>
      <c r="D43" s="2">
        <v>13.75</v>
      </c>
      <c r="E43" s="2">
        <v>0</v>
      </c>
      <c r="F43" s="2">
        <v>0</v>
      </c>
      <c r="G43" s="2">
        <v>0</v>
      </c>
      <c r="H43" s="2">
        <v>0</v>
      </c>
      <c r="I43" s="2">
        <v>0</v>
      </c>
      <c r="J43" s="2">
        <v>0</v>
      </c>
      <c r="K43" s="3">
        <v>0</v>
      </c>
      <c r="L43" s="3">
        <v>0</v>
      </c>
      <c r="M43" s="3">
        <v>0</v>
      </c>
    </row>
    <row r="44" spans="1:13" x14ac:dyDescent="0.25">
      <c r="A44" s="4" t="s">
        <v>0</v>
      </c>
      <c r="B44" s="5">
        <f xml:space="preserve"> AVERAGEIF(B2:B43,"&gt;0")</f>
        <v>17.80952380952381</v>
      </c>
      <c r="C44" s="5">
        <f t="shared" ref="C44:L44" si="0" xml:space="preserve"> AVERAGEIF(C2:C43,"&gt;0")</f>
        <v>5.9523809523809526</v>
      </c>
      <c r="D44" s="5">
        <f t="shared" si="0"/>
        <v>15.480476190476192</v>
      </c>
      <c r="E44" s="5">
        <f t="shared" si="0"/>
        <v>3.236842105263158</v>
      </c>
      <c r="F44" s="5">
        <f t="shared" si="0"/>
        <v>18.189736842105269</v>
      </c>
      <c r="G44" s="5">
        <f t="shared" si="0"/>
        <v>1.4210526315789473</v>
      </c>
      <c r="H44" s="5">
        <f t="shared" si="0"/>
        <v>21.395789473684211</v>
      </c>
      <c r="I44" s="6">
        <f>IF(SUM(I2:I43)=0,0,AVERAGEIF(I2:I43,"&gt;0"))</f>
        <v>0</v>
      </c>
      <c r="J44" s="6">
        <f>IF(SUM(J2:J43)=0,0,AVERAGEIF(J2:J43,"&gt;0"))</f>
        <v>0</v>
      </c>
      <c r="K44" s="6">
        <f t="shared" si="0"/>
        <v>8661466.730689656</v>
      </c>
      <c r="L44" s="6">
        <f t="shared" si="0"/>
        <v>8230114.4316666657</v>
      </c>
      <c r="M44" s="6">
        <f>IF(SUM(M2:M43)=0,0,AVERAGEIF(M2:M43,"&gt;0"))</f>
        <v>0</v>
      </c>
    </row>
    <row r="45" spans="1:13" x14ac:dyDescent="0.25">
      <c r="A45" s="4" t="s">
        <v>1</v>
      </c>
      <c r="B45" s="5">
        <f>SUM(B2:B43)</f>
        <v>748</v>
      </c>
      <c r="C45" s="5">
        <f>SUM(C2:C43)</f>
        <v>250</v>
      </c>
      <c r="D45" s="5"/>
      <c r="E45" s="5">
        <f>SUM(E2:E43)</f>
        <v>123</v>
      </c>
      <c r="F45" s="5"/>
      <c r="G45" s="5">
        <f>SUM(G2:G43)</f>
        <v>27</v>
      </c>
      <c r="H45" s="5"/>
      <c r="I45" s="5">
        <f>SUM(I2:I43)</f>
        <v>0</v>
      </c>
      <c r="J45" s="5"/>
      <c r="K45" s="5"/>
      <c r="L45" s="5"/>
      <c r="M45" s="5"/>
    </row>
    <row r="48" spans="1:13" x14ac:dyDescent="0.25">
      <c r="B48" s="7" t="s">
        <v>3</v>
      </c>
      <c r="C48" s="7"/>
      <c r="D48" s="7"/>
      <c r="E48" s="7"/>
      <c r="F48" s="7"/>
      <c r="G48" s="7"/>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ProjectID xmlns="1467fb8b-7944-4202-8e80-6a5cf0d18287" xsi:nil="true"/>
    <OpportunityID xmlns="1467fb8b-7944-4202-8e80-6a5cf0d18287" xsi:nil="true"/>
    <DocCTLanguage xmlns="1467fb8b-7944-4202-8e80-6a5cf0d18287">English</DocCTLanguage>
    <ClientID xmlns="1467fb8b-7944-4202-8e80-6a5cf0d18287" xsi:nil="true"/>
    <TaxKeywordTaxHTField xmlns="1467fb8b-7944-4202-8e80-6a5cf0d18287">
      <Terms xmlns="http://schemas.microsoft.com/office/infopath/2007/PartnerControls"/>
    </TaxKeywordTaxHTField>
    <DocumentAudience xmlns="1467fb8b-7944-4202-8e80-6a5cf0d18287">CGI only</DocumentAudience>
    <Classification xmlns="1467fb8b-7944-4202-8e80-6a5cf0d18287">Internal</Classification>
    <d03104a6d34b444fb9971a4d8e41064a xmlns="1467fb8b-7944-4202-8e80-6a5cf0d18287">
      <Terms xmlns="http://schemas.microsoft.com/office/infopath/2007/PartnerControls"/>
    </d03104a6d34b444fb9971a4d8e41064a>
    <ContractID xmlns="1467fb8b-7944-4202-8e80-6a5cf0d18287" xsi:nil="true"/>
    <ie2d883865e24cb2a65058c0b220779a xmlns="1467fb8b-7944-4202-8e80-6a5cf0d18287">
      <Terms xmlns="http://schemas.microsoft.com/office/infopath/2007/PartnerControls">
        <TermInfo xmlns="http://schemas.microsoft.com/office/infopath/2007/PartnerControls">
          <TermName xmlns="http://schemas.microsoft.com/office/infopath/2007/PartnerControls">Deliverable</TermName>
          <TermId xmlns="http://schemas.microsoft.com/office/infopath/2007/PartnerControls">77d647fd-345e-4fd2-a591-0069a78d4a4d</TermId>
        </TermInfo>
      </Terms>
    </ie2d883865e24cb2a65058c0b220779a>
    <DLCPolicyLabelLock xmlns="ba9db4f4-339c-4cc9-80d1-c223958a04a7" xsi:nil="true"/>
    <Abstract xmlns="1467fb8b-7944-4202-8e80-6a5cf0d18287" xsi:nil="true"/>
    <TaxCatchAll xmlns="1467fb8b-7944-4202-8e80-6a5cf0d18287">
      <Value>5</Value>
    </TaxCatchAll>
    <ProjectFileTopic xmlns="1467fb8b-7944-4202-8e80-6a5cf0d18287">Program/Project management</ProjectFileTopic>
    <AuthorEnsemble xmlns="1467fb8b-7944-4202-8e80-6a5cf0d18287" xsi:nil="true"/>
    <PublishedDate xmlns="http://schemas.microsoft.com/sharepoint/v3" xsi:nil="true"/>
    <DLCPolicyLabelClientValue xmlns="ba9db4f4-339c-4cc9-80d1-c223958a04a7">{_UIVersionString}</DLCPolicyLabelClientValue>
    <ChangeRequestID xmlns="1467fb8b-7944-4202-8e80-6a5cf0d18287" xsi:nil="true"/>
    <i85fc926d10a45efbad452e9e78f262a xmlns="1467fb8b-7944-4202-8e80-6a5cf0d18287">
      <Terms xmlns="http://schemas.microsoft.com/office/infopath/2007/PartnerControls"/>
    </i85fc926d10a45efbad452e9e78f262a>
    <_dlc_DocId xmlns="33238cd2-e3e9-4e17-9e41-3c3af12ecb78">AM2XTC5VV4ZZ-929550150-856</_dlc_DocId>
    <_dlc_DocIdUrl xmlns="33238cd2-e3e9-4e17-9e41-3c3af12ecb78">
      <Url>https://ensemble.ent.cgi.com/client/87506/WISC/_layouts/15/DocIdRedir.aspx?ID=AM2XTC5VV4ZZ-929550150-856</Url>
      <Description>AM2XTC5VV4ZZ-929550150-856</Description>
    </_dlc_DocIdUrl>
    <DLCPolicyLabelValue xmlns="ba9db4f4-339c-4cc9-80d1-c223958a04a7">{_UIVersionString}</DLCPolicyLabelValue>
  </documentManagement>
</p:properties>
</file>

<file path=customXml/item2.xml><?xml version="1.0" encoding="utf-8"?>
<ct:contentTypeSchema xmlns:ct="http://schemas.microsoft.com/office/2006/metadata/contentType" xmlns:ma="http://schemas.microsoft.com/office/2006/metadata/properties/metaAttributes" ct:_="" ma:_="" ma:contentTypeName="Project File" ma:contentTypeID="0x0101008BF0FBB838BCD748BD563AED518C5714050096CBF41C594ADE4D9FADCFB6C168A682" ma:contentTypeVersion="12" ma:contentTypeDescription="" ma:contentTypeScope="" ma:versionID="ff7676da23b82d67ab9ed60eecf4a1df">
  <xsd:schema xmlns:xsd="http://www.w3.org/2001/XMLSchema" xmlns:xs="http://www.w3.org/2001/XMLSchema" xmlns:p="http://schemas.microsoft.com/office/2006/metadata/properties" xmlns:ns1="http://schemas.microsoft.com/sharepoint/v3" xmlns:ns2="1467fb8b-7944-4202-8e80-6a5cf0d18287" xmlns:ns3="33238cd2-e3e9-4e17-9e41-3c3af12ecb78" xmlns:ns4="ba9db4f4-339c-4cc9-80d1-c223958a04a7" targetNamespace="http://schemas.microsoft.com/office/2006/metadata/properties" ma:root="true" ma:fieldsID="a99abece7d8c7d437768ca55c55965dd" ns1:_="" ns2:_="" ns3:_="" ns4:_="">
    <xsd:import namespace="http://schemas.microsoft.com/sharepoint/v3"/>
    <xsd:import namespace="1467fb8b-7944-4202-8e80-6a5cf0d18287"/>
    <xsd:import namespace="33238cd2-e3e9-4e17-9e41-3c3af12ecb78"/>
    <xsd:import namespace="ba9db4f4-339c-4cc9-80d1-c223958a04a7"/>
    <xsd:element name="properties">
      <xsd:complexType>
        <xsd:sequence>
          <xsd:element name="documentManagement">
            <xsd:complexType>
              <xsd:all>
                <xsd:element ref="ns2:AuthorEnsemble" minOccurs="0"/>
                <xsd:element ref="ns1:PublishedDate" minOccurs="0"/>
                <xsd:element ref="ns2:DocumentAudience"/>
                <xsd:element ref="ns2:ProjectFileTopic" minOccurs="0"/>
                <xsd:element ref="ns2:DocCTLanguage" minOccurs="0"/>
                <xsd:element ref="ns2:Classification"/>
                <xsd:element ref="ns2:Abstract" minOccurs="0"/>
                <xsd:element ref="ns2:ChangeRequestID" minOccurs="0"/>
                <xsd:element ref="ns2:ClientID" minOccurs="0"/>
                <xsd:element ref="ns2:OpportunityID" minOccurs="0"/>
                <xsd:element ref="ns2:ContractID" minOccurs="0"/>
                <xsd:element ref="ns2:ProjectID" minOccurs="0"/>
                <xsd:element ref="ns2:i85fc926d10a45efbad452e9e78f262a" minOccurs="0"/>
                <xsd:element ref="ns2:TaxKeywordTaxHTField" minOccurs="0"/>
                <xsd:element ref="ns2:d03104a6d34b444fb9971a4d8e41064a" minOccurs="0"/>
                <xsd:element ref="ns2:TaxCatchAll" minOccurs="0"/>
                <xsd:element ref="ns2:ie2d883865e24cb2a65058c0b220779a" minOccurs="0"/>
                <xsd:element ref="ns2:TaxCatchAllLabel" minOccurs="0"/>
                <xsd:element ref="ns3:_dlc_DocId" minOccurs="0"/>
                <xsd:element ref="ns3:_dlc_DocIdUrl" minOccurs="0"/>
                <xsd:element ref="ns3:_dlc_DocIdPersistId" minOccurs="0"/>
                <xsd:element ref="ns1:_dlc_Exempt" minOccurs="0"/>
                <xsd:element ref="ns4:DLCPolicyLabelValue" minOccurs="0"/>
                <xsd:element ref="ns4:DLCPolicyLabelClientValue" minOccurs="0"/>
                <xsd:element ref="ns4: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edDate" ma:index="3" nillable="true" ma:displayName="Published Date" ma:format="DateOnly" ma:internalName="PublishedDate" ma:readOnly="false">
      <xsd:simpleType>
        <xsd:restriction base="dms:DateTime"/>
      </xsd:simpleType>
    </xsd:element>
    <xsd:element name="_dlc_Exempt" ma:index="33"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467fb8b-7944-4202-8e80-6a5cf0d18287" elementFormDefault="qualified">
    <xsd:import namespace="http://schemas.microsoft.com/office/2006/documentManagement/types"/>
    <xsd:import namespace="http://schemas.microsoft.com/office/infopath/2007/PartnerControls"/>
    <xsd:element name="AuthorEnsemble" ma:index="2" nillable="true" ma:displayName="Author" ma:description="The name of the CGI approval authority." ma:internalName="AuthorEnsemble" ma:readOnly="false">
      <xsd:simpleType>
        <xsd:restriction base="dms:Text"/>
      </xsd:simpleType>
    </xsd:element>
    <xsd:element name="DocumentAudience" ma:index="5" ma:displayName="Document Audience" ma:default="CGI only" ma:description="" ma:internalName="DocumentAudience" ma:readOnly="false">
      <xsd:simpleType>
        <xsd:restriction base="dms:Choice">
          <xsd:enumeration value="CGI only"/>
          <xsd:enumeration value="Approved for client communications"/>
        </xsd:restriction>
      </xsd:simpleType>
    </xsd:element>
    <xsd:element name="ProjectFileTopic" ma:index="6" nillable="true" ma:displayName="Topic" ma:default="Program/Project management" ma:description="" ma:internalName="ProjectFileTopic" ma:readOnly="false">
      <xsd:simpleType>
        <xsd:restriction base="dms:Choice">
          <xsd:enumeration value="Analysis and design"/>
          <xsd:enumeration value="Application Development"/>
          <xsd:enumeration value="Architecture"/>
          <xsd:enumeration value="Business process modeling"/>
          <xsd:enumeration value="Change management"/>
          <xsd:enumeration value="Implementation"/>
          <xsd:enumeration value="Program/Project management"/>
          <xsd:enumeration value="Project delivery"/>
          <xsd:enumeration value="Release and Deployment management"/>
          <xsd:enumeration value="Requirements gathering"/>
          <xsd:enumeration value="Suppliers management"/>
          <xsd:enumeration value="Test"/>
          <xsd:enumeration value="Training"/>
          <xsd:enumeration value="Transition/transformation"/>
        </xsd:restriction>
      </xsd:simpleType>
    </xsd:element>
    <xsd:element name="DocCTLanguage" ma:index="8" nillable="true" ma:displayName="Language" ma:default="English" ma:description="" ma:internalName="DocCTLanguage" ma:readOnly="false">
      <xsd:simpleType>
        <xsd:restriction base="dms:Choice">
          <xsd:enumeration value="English"/>
          <xsd:enumeration value="French"/>
        </xsd:restriction>
      </xsd:simpleType>
    </xsd:element>
    <xsd:element name="Classification" ma:index="9" ma:displayName="Classification" ma:default="Internal" ma:description="As per information classification policy." ma:internalName="Classification" ma:readOnly="false">
      <xsd:simpleType>
        <xsd:restriction base="dms:Choice">
          <xsd:enumeration value="Internal"/>
          <xsd:enumeration value="Public"/>
          <xsd:enumeration value="Confidential"/>
          <xsd:enumeration value="Highly confidential"/>
        </xsd:restriction>
      </xsd:simpleType>
    </xsd:element>
    <xsd:element name="Abstract" ma:index="10" nillable="true" ma:displayName="Abstract" ma:description="" ma:internalName="Abstract" ma:readOnly="false">
      <xsd:simpleType>
        <xsd:restriction base="dms:Note">
          <xsd:maxLength value="255"/>
        </xsd:restriction>
      </xsd:simpleType>
    </xsd:element>
    <xsd:element name="ChangeRequestID" ma:index="11" nillable="true" ma:displayName="Change Request ID" ma:description="" ma:internalName="ChangeRequestID" ma:readOnly="false">
      <xsd:simpleType>
        <xsd:restriction base="dms:Text"/>
      </xsd:simpleType>
    </xsd:element>
    <xsd:element name="ClientID" ma:index="14" nillable="true" ma:displayName="Client ID" ma:description="(PSA-CRM - Sales funnel #)" ma:internalName="ClientID">
      <xsd:simpleType>
        <xsd:restriction base="dms:Text">
          <xsd:maxLength value="255"/>
        </xsd:restriction>
      </xsd:simpleType>
    </xsd:element>
    <xsd:element name="OpportunityID" ma:index="15" nillable="true" ma:displayName="Opportunity ID" ma:description="(PSA-CRM - Sales funnel #)" ma:internalName="OpportunityID">
      <xsd:simpleType>
        <xsd:restriction base="dms:Text">
          <xsd:maxLength value="255"/>
        </xsd:restriction>
      </xsd:simpleType>
    </xsd:element>
    <xsd:element name="ContractID" ma:index="16" nillable="true" ma:displayName="Contract ID" ma:description="" ma:internalName="ContractID" ma:readOnly="false">
      <xsd:simpleType>
        <xsd:restriction base="dms:Text"/>
      </xsd:simpleType>
    </xsd:element>
    <xsd:element name="ProjectID" ma:index="17" nillable="true" ma:displayName="Project ID" ma:description="" ma:internalName="ProjectID" ma:readOnly="false">
      <xsd:simpleType>
        <xsd:restriction base="dms:Text"/>
      </xsd:simpleType>
    </xsd:element>
    <xsd:element name="i85fc926d10a45efbad452e9e78f262a" ma:index="23" nillable="true" ma:taxonomy="true" ma:internalName="i85fc926d10a45efbad452e9e78f262a" ma:taxonomyFieldName="CountryRMJurisdiction" ma:displayName="Country RM Jurisdiction" ma:readOnly="false" ma:fieldId="{285fc926-d10a-45ef-bad4-52e9e78f262a}" ma:sspId="204c783a-96cf-4a0f-a0fc-232f03230527" ma:termSetId="8fe0e76e-13ab-4aa3-aef5-217f3c272257" ma:anchorId="00000000-0000-0000-0000-000000000000" ma:open="false" ma:isKeyword="false">
      <xsd:complexType>
        <xsd:sequence>
          <xsd:element ref="pc:Terms" minOccurs="0" maxOccurs="1"/>
        </xsd:sequence>
      </xsd:complexType>
    </xsd:element>
    <xsd:element name="TaxKeywordTaxHTField" ma:index="24" nillable="true" ma:taxonomy="true" ma:internalName="TaxKeywordTaxHTField" ma:taxonomyFieldName="TaxKeyword" ma:displayName="Enterprise Keywords" ma:readOnly="false" ma:fieldId="{23f27201-bee3-471e-b2e7-b64fd8b7ca38}" ma:taxonomyMulti="true" ma:sspId="204c783a-96cf-4a0f-a0fc-232f03230527" ma:termSetId="00000000-0000-0000-0000-000000000000" ma:anchorId="00000000-0000-0000-0000-000000000000" ma:open="true" ma:isKeyword="true">
      <xsd:complexType>
        <xsd:sequence>
          <xsd:element ref="pc:Terms" minOccurs="0" maxOccurs="1"/>
        </xsd:sequence>
      </xsd:complexType>
    </xsd:element>
    <xsd:element name="d03104a6d34b444fb9971a4d8e41064a" ma:index="25" nillable="true" ma:taxonomy="true" ma:internalName="d03104a6d34b444fb9971a4d8e41064a" ma:taxonomyFieldName="SBUBUContentOwner" ma:displayName="SBU/BU Content Owner" ma:readOnly="false" ma:fieldId="{d03104a6-d34b-444f-b997-1a4d8e41064a}" ma:sspId="204c783a-96cf-4a0f-a0fc-232f03230527" ma:termSetId="d99e8ed4-fc5d-43fa-94ab-5d6ef9c16d49" ma:anchorId="00000000-0000-0000-0000-000000000000" ma:open="false" ma:isKeyword="false">
      <xsd:complexType>
        <xsd:sequence>
          <xsd:element ref="pc:Terms" minOccurs="0" maxOccurs="1"/>
        </xsd:sequence>
      </xsd:complexType>
    </xsd:element>
    <xsd:element name="TaxCatchAll" ma:index="26" nillable="true" ma:displayName="Taxonomy Catch All Column" ma:hidden="true" ma:list="{9c5c82ed-58b5-40aa-be1b-48dcacdd066e}" ma:internalName="TaxCatchAll" ma:showField="CatchAllData" ma:web="33238cd2-e3e9-4e17-9e41-3c3af12ecb78">
      <xsd:complexType>
        <xsd:complexContent>
          <xsd:extension base="dms:MultiChoiceLookup">
            <xsd:sequence>
              <xsd:element name="Value" type="dms:Lookup" maxOccurs="unbounded" minOccurs="0" nillable="true"/>
            </xsd:sequence>
          </xsd:extension>
        </xsd:complexContent>
      </xsd:complexType>
    </xsd:element>
    <xsd:element name="ie2d883865e24cb2a65058c0b220779a" ma:index="28" ma:taxonomy="true" ma:internalName="ie2d883865e24cb2a65058c0b220779a" ma:taxonomyFieldName="ProjectFileDocument" ma:displayName="Document Type" ma:readOnly="false" ma:default="5;#Deliverable|77d647fd-345e-4fd2-a591-0069a78d4a4d" ma:fieldId="{2e2d8838-65e2-4cb2-a650-58c0b220779a}" ma:sspId="204c783a-96cf-4a0f-a0fc-232f03230527" ma:termSetId="462f9cae-d6b2-4ceb-a226-a9aedfa0d98a" ma:anchorId="7239ed02-257d-4c8e-bd1a-f41c60acdbbf" ma:open="false" ma:isKeyword="false">
      <xsd:complexType>
        <xsd:sequence>
          <xsd:element ref="pc:Terms" minOccurs="0" maxOccurs="1"/>
        </xsd:sequence>
      </xsd:complexType>
    </xsd:element>
    <xsd:element name="TaxCatchAllLabel" ma:index="29" nillable="true" ma:displayName="Taxonomy Catch All Column1" ma:hidden="true" ma:list="{9c5c82ed-58b5-40aa-be1b-48dcacdd066e}" ma:internalName="TaxCatchAllLabel" ma:readOnly="true" ma:showField="CatchAllDataLabel" ma:web="33238cd2-e3e9-4e17-9e41-3c3af12ecb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238cd2-e3e9-4e17-9e41-3c3af12ecb78" elementFormDefault="qualified">
    <xsd:import namespace="http://schemas.microsoft.com/office/2006/documentManagement/types"/>
    <xsd:import namespace="http://schemas.microsoft.com/office/infopath/2007/PartnerControls"/>
    <xsd:element name="_dlc_DocId" ma:index="30" nillable="true" ma:displayName="Document ID Value" ma:description="The value of the document ID assigned to this item." ma:internalName="_dlc_DocId" ma:readOnly="true">
      <xsd:simpleType>
        <xsd:restriction base="dms:Text"/>
      </xsd:simpleType>
    </xsd:element>
    <xsd:element name="_dlc_DocIdUrl" ma:index="3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a9db4f4-339c-4cc9-80d1-c223958a04a7" elementFormDefault="qualified">
    <xsd:import namespace="http://schemas.microsoft.com/office/2006/documentManagement/types"/>
    <xsd:import namespace="http://schemas.microsoft.com/office/infopath/2007/PartnerControls"/>
    <xsd:element name="DLCPolicyLabelValue" ma:index="34"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35"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36"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04c783a-96cf-4a0f-a0fc-232f03230527" ContentTypeId="0x0101008BF0FBB838BCD748BD563AED518C571405" PreviousValue="false"/>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p:Policy xmlns:p="office.server.policy" id="" local="true">
  <p:Name>Project File Info Policy</p:Name>
  <p:Description>Project File Info Policy</p:Description>
  <p:Statement>Project File Info Policy</p:Statement>
  <p:PolicyItems>
    <p:PolicyItem featureId="Microsoft.Office.RecordsManagement.PolicyFeatures.PolicyLabel" staticId="0x0101008BF0FBB838BCD748BD563AED518C5714050096CBF41C594ADE4D9FADCFB6C168A682|801092262" UniqueId="3a7b0a19-1c25-436d-a677-4980e5ab81b3">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F7E3D5-0B41-4B18-B706-03533C0BC398}">
  <ds:schemaRefs>
    <ds:schemaRef ds:uri="http://schemas.microsoft.com/office/2006/metadata/properties"/>
    <ds:schemaRef ds:uri="http://schemas.microsoft.com/sharepoint/v3"/>
    <ds:schemaRef ds:uri="http://purl.org/dc/terms/"/>
    <ds:schemaRef ds:uri="ba9db4f4-339c-4cc9-80d1-c223958a04a7"/>
    <ds:schemaRef ds:uri="http://schemas.microsoft.com/office/2006/documentManagement/types"/>
    <ds:schemaRef ds:uri="http://schemas.microsoft.com/office/infopath/2007/PartnerControls"/>
    <ds:schemaRef ds:uri="http://schemas.openxmlformats.org/package/2006/metadata/core-properties"/>
    <ds:schemaRef ds:uri="33238cd2-e3e9-4e17-9e41-3c3af12ecb78"/>
    <ds:schemaRef ds:uri="http://purl.org/dc/elements/1.1/"/>
    <ds:schemaRef ds:uri="1467fb8b-7944-4202-8e80-6a5cf0d18287"/>
    <ds:schemaRef ds:uri="http://www.w3.org/XML/1998/namespace"/>
    <ds:schemaRef ds:uri="http://purl.org/dc/dcmitype/"/>
  </ds:schemaRefs>
</ds:datastoreItem>
</file>

<file path=customXml/itemProps2.xml><?xml version="1.0" encoding="utf-8"?>
<ds:datastoreItem xmlns:ds="http://schemas.openxmlformats.org/officeDocument/2006/customXml" ds:itemID="{CF830B6F-71CA-4DD3-BEF4-BD0165257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67fb8b-7944-4202-8e80-6a5cf0d18287"/>
    <ds:schemaRef ds:uri="33238cd2-e3e9-4e17-9e41-3c3af12ecb78"/>
    <ds:schemaRef ds:uri="ba9db4f4-339c-4cc9-80d1-c223958a0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1A03AD-707A-4BCC-B045-14CAC1669911}">
  <ds:schemaRefs>
    <ds:schemaRef ds:uri="Microsoft.SharePoint.Taxonomy.ContentTypeSync"/>
  </ds:schemaRefs>
</ds:datastoreItem>
</file>

<file path=customXml/itemProps4.xml><?xml version="1.0" encoding="utf-8"?>
<ds:datastoreItem xmlns:ds="http://schemas.openxmlformats.org/officeDocument/2006/customXml" ds:itemID="{C3210C27-FE99-452A-93B9-8E70DD0E6478}">
  <ds:schemaRefs>
    <ds:schemaRef ds:uri="http://schemas.microsoft.com/sharepoint/events"/>
  </ds:schemaRefs>
</ds:datastoreItem>
</file>

<file path=customXml/itemProps5.xml><?xml version="1.0" encoding="utf-8"?>
<ds:datastoreItem xmlns:ds="http://schemas.openxmlformats.org/officeDocument/2006/customXml" ds:itemID="{C3DDD041-09C3-482A-B236-D63429F569D2}">
  <ds:schemaRefs>
    <ds:schemaRef ds:uri="office.server.policy"/>
  </ds:schemaRefs>
</ds:datastoreItem>
</file>

<file path=customXml/itemProps6.xml><?xml version="1.0" encoding="utf-8"?>
<ds:datastoreItem xmlns:ds="http://schemas.openxmlformats.org/officeDocument/2006/customXml" ds:itemID="{49651F38-427B-4E07-8842-5289691FF0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Europe</vt:lpstr>
      <vt:lpstr>UK</vt:lpstr>
      <vt:lpstr>France</vt:lpstr>
      <vt:lpstr>Germany</vt:lpstr>
      <vt:lpstr>BeNeLux Only</vt:lpstr>
      <vt:lpstr>BeNeLux + Denmark</vt:lpstr>
      <vt:lpstr>Scandinavia</vt:lpstr>
      <vt:lpstr>Iberia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Whitelaw, Alan</cp:lastModifiedBy>
  <dcterms:created xsi:type="dcterms:W3CDTF">2019-06-21T16:39:40Z</dcterms:created>
  <dcterms:modified xsi:type="dcterms:W3CDTF">2021-11-17T14:11:56Z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0x0101008BF0FBB838BCD748BD563AED518C5714050096CBF41C594ADE4D9FADCFB6C168A682</vt:lpwstr>
  </property>
  <property fmtid="{D5CDD505-2E9C-101B-9397-08002B2CF9AE}" pid="3" name="_dlc_DocIdItemGuid">
    <vt:lpwstr>8e75dccb-57c9-4874-9c83-e4c50654838d</vt:lpwstr>
  </property>
  <property fmtid="{D5CDD505-2E9C-101B-9397-08002B2CF9AE}" pid="4" name="MSIP_Label_6be7ebee-5b98-4973-86ef-ae3752ea54e7_Enabled">
    <vt:lpwstr>true</vt:lpwstr>
  </property>
  <property fmtid="{D5CDD505-2E9C-101B-9397-08002B2CF9AE}" pid="5" name="MSIP_Label_6be7ebee-5b98-4973-86ef-ae3752ea54e7_SetDate">
    <vt:lpwstr>2021-06-21T16:51:11Z</vt:lpwstr>
  </property>
  <property fmtid="{D5CDD505-2E9C-101B-9397-08002B2CF9AE}" pid="6" name="MSIP_Label_6be7ebee-5b98-4973-86ef-ae3752ea54e7_Method">
    <vt:lpwstr>Privileged</vt:lpwstr>
  </property>
  <property fmtid="{D5CDD505-2E9C-101B-9397-08002B2CF9AE}" pid="7" name="MSIP_Label_6be7ebee-5b98-4973-86ef-ae3752ea54e7_Name">
    <vt:lpwstr>Customer Classification</vt:lpwstr>
  </property>
  <property fmtid="{D5CDD505-2E9C-101B-9397-08002B2CF9AE}" pid="8" name="MSIP_Label_6be7ebee-5b98-4973-86ef-ae3752ea54e7_SiteId">
    <vt:lpwstr>b9fec68c-c92d-461e-9a97-3d03a0f18b82</vt:lpwstr>
  </property>
  <property fmtid="{D5CDD505-2E9C-101B-9397-08002B2CF9AE}" pid="9" name="MSIP_Label_6be7ebee-5b98-4973-86ef-ae3752ea54e7_ActionId">
    <vt:lpwstr>a6f6f019-2b6d-4ff8-97ec-c5c6dcfc2eeb</vt:lpwstr>
  </property>
  <property fmtid="{D5CDD505-2E9C-101B-9397-08002B2CF9AE}" pid="10" name="MSIP_Label_6be7ebee-5b98-4973-86ef-ae3752ea54e7_ContentBits">
    <vt:lpwstr>0</vt:lpwstr>
  </property>
</Properties>
</file>