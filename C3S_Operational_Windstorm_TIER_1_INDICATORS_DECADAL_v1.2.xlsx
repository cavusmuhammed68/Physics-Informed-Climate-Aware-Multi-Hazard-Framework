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whitelawa\Desktop\WISC Ops checks T1\"/>
    </mc:Choice>
  </mc:AlternateContent>
  <bookViews>
    <workbookView xWindow="0" yWindow="0" windowWidth="28800" windowHeight="14685" tabRatio="701"/>
  </bookViews>
  <sheets>
    <sheet name="Main" sheetId="1" r:id="rId1"/>
    <sheet name="Graphs - Total No Storms" sheetId="2" r:id="rId2"/>
    <sheet name="Graphs - Total No Extr. Storms" sheetId="3" r:id="rId3"/>
    <sheet name="Graphs - Average SSI" sheetId="4" r:id="rId4"/>
  </sheets>
  <calcPr calcId="162913"/>
</workbook>
</file>

<file path=xl/calcChain.xml><?xml version="1.0" encoding="utf-8"?>
<calcChain xmlns="http://schemas.openxmlformats.org/spreadsheetml/2006/main">
  <c r="F27" i="2" l="1"/>
  <c r="E27" i="2"/>
  <c r="D27" i="2"/>
  <c r="C27" i="2"/>
  <c r="B27" i="2"/>
  <c r="F26" i="2"/>
  <c r="E26" i="2"/>
  <c r="D26" i="2"/>
  <c r="C26" i="2"/>
  <c r="B26" i="2"/>
  <c r="F25" i="2"/>
  <c r="E25" i="2"/>
  <c r="D25" i="2"/>
  <c r="C25" i="2"/>
  <c r="B25" i="2"/>
  <c r="F24" i="2"/>
  <c r="E24" i="2"/>
  <c r="D24" i="2"/>
  <c r="C24" i="2"/>
  <c r="B24" i="2"/>
  <c r="F23" i="2"/>
  <c r="E23" i="2"/>
  <c r="D23" i="2"/>
  <c r="C23" i="2"/>
  <c r="B23" i="2"/>
  <c r="F22" i="2"/>
  <c r="E22" i="2"/>
  <c r="D22" i="2"/>
  <c r="C22" i="2"/>
  <c r="B22" i="2"/>
  <c r="F21" i="2"/>
  <c r="E21" i="2"/>
  <c r="D21" i="2"/>
  <c r="C21" i="2"/>
  <c r="B21" i="2"/>
  <c r="F20" i="2"/>
  <c r="E20" i="2"/>
  <c r="D20" i="2"/>
  <c r="C20" i="2"/>
  <c r="B20" i="2"/>
  <c r="F15" i="2"/>
  <c r="E15" i="2"/>
  <c r="D15" i="2"/>
  <c r="C15" i="2"/>
  <c r="B15" i="2"/>
  <c r="F14" i="2"/>
  <c r="E14" i="2"/>
  <c r="D14" i="2"/>
  <c r="C14" i="2"/>
  <c r="B14" i="2"/>
  <c r="F13" i="2"/>
  <c r="E13" i="2"/>
  <c r="D13" i="2"/>
  <c r="C13" i="2"/>
  <c r="B13" i="2"/>
  <c r="F12" i="2"/>
  <c r="E12" i="2"/>
  <c r="D12" i="2"/>
  <c r="C12" i="2"/>
  <c r="B12" i="2"/>
  <c r="F11" i="2"/>
  <c r="E11" i="2"/>
  <c r="D11" i="2"/>
  <c r="C11" i="2"/>
  <c r="B11" i="2"/>
  <c r="F10" i="2"/>
  <c r="E10" i="2"/>
  <c r="D10" i="2"/>
  <c r="C10" i="2"/>
  <c r="B10" i="2"/>
  <c r="F9" i="2"/>
  <c r="E9" i="2"/>
  <c r="D9" i="2"/>
  <c r="C9" i="2"/>
  <c r="B9" i="2"/>
  <c r="F8" i="2"/>
  <c r="E8" i="2"/>
  <c r="D8" i="2"/>
  <c r="C8" i="2"/>
  <c r="B8" i="2"/>
  <c r="A13" i="4"/>
  <c r="H13" i="4"/>
  <c r="O13" i="4"/>
  <c r="T16" i="4"/>
  <c r="S16" i="4"/>
  <c r="R16" i="4"/>
  <c r="Q16" i="4"/>
  <c r="P16" i="4"/>
  <c r="T15" i="4"/>
  <c r="S15" i="4"/>
  <c r="R15" i="4"/>
  <c r="Q15" i="4"/>
  <c r="P15" i="4"/>
  <c r="T14" i="4"/>
  <c r="S14" i="4"/>
  <c r="R14" i="4"/>
  <c r="Q14" i="4"/>
  <c r="P14" i="4"/>
  <c r="T13" i="4"/>
  <c r="S13" i="4"/>
  <c r="R13" i="4"/>
  <c r="Q13" i="4"/>
  <c r="P13" i="4"/>
  <c r="T12" i="4"/>
  <c r="S12" i="4"/>
  <c r="R12" i="4"/>
  <c r="Q12" i="4"/>
  <c r="P12" i="4"/>
  <c r="T11" i="4"/>
  <c r="S11" i="4"/>
  <c r="R11" i="4"/>
  <c r="Q11" i="4"/>
  <c r="P11" i="4"/>
  <c r="T10" i="4"/>
  <c r="S10" i="4"/>
  <c r="R10" i="4"/>
  <c r="Q10" i="4"/>
  <c r="P10" i="4"/>
  <c r="T9" i="4"/>
  <c r="S9" i="4"/>
  <c r="R9" i="4"/>
  <c r="Q9" i="4"/>
  <c r="P9" i="4"/>
  <c r="M16" i="4"/>
  <c r="L16" i="4"/>
  <c r="K16" i="4"/>
  <c r="J16" i="4"/>
  <c r="I16" i="4"/>
  <c r="M15" i="4"/>
  <c r="L15" i="4"/>
  <c r="K15" i="4"/>
  <c r="J15" i="4"/>
  <c r="I15" i="4"/>
  <c r="M14" i="4"/>
  <c r="L14" i="4"/>
  <c r="K14" i="4"/>
  <c r="J14" i="4"/>
  <c r="I14" i="4"/>
  <c r="M13" i="4"/>
  <c r="L13" i="4"/>
  <c r="K13" i="4"/>
  <c r="J13" i="4"/>
  <c r="I13" i="4"/>
  <c r="M12" i="4"/>
  <c r="L12" i="4"/>
  <c r="K12" i="4"/>
  <c r="J12" i="4"/>
  <c r="I12" i="4"/>
  <c r="M11" i="4"/>
  <c r="L11" i="4"/>
  <c r="K11" i="4"/>
  <c r="J11" i="4"/>
  <c r="I11" i="4"/>
  <c r="M10" i="4"/>
  <c r="L10" i="4"/>
  <c r="K10" i="4"/>
  <c r="J10" i="4"/>
  <c r="I10" i="4"/>
  <c r="M9" i="4"/>
  <c r="L9" i="4"/>
  <c r="K9" i="4"/>
  <c r="J9" i="4"/>
  <c r="I9" i="4"/>
  <c r="F16" i="4"/>
  <c r="E16" i="4"/>
  <c r="D16" i="4"/>
  <c r="C16" i="4"/>
  <c r="B16" i="4"/>
  <c r="F15" i="4"/>
  <c r="E15" i="4"/>
  <c r="D15" i="4"/>
  <c r="C15" i="4"/>
  <c r="B15" i="4"/>
  <c r="F14" i="4"/>
  <c r="E14" i="4"/>
  <c r="D14" i="4"/>
  <c r="C14" i="4"/>
  <c r="B14" i="4"/>
  <c r="F13" i="4"/>
  <c r="E13" i="4"/>
  <c r="D13" i="4"/>
  <c r="C13" i="4"/>
  <c r="B13" i="4"/>
  <c r="F12" i="4"/>
  <c r="E12" i="4"/>
  <c r="D12" i="4"/>
  <c r="C12" i="4"/>
  <c r="B12" i="4"/>
  <c r="F11" i="4"/>
  <c r="E11" i="4"/>
  <c r="D11" i="4"/>
  <c r="C11" i="4"/>
  <c r="B11" i="4"/>
  <c r="F10" i="4"/>
  <c r="E10" i="4"/>
  <c r="D10" i="4"/>
  <c r="C10" i="4"/>
  <c r="B10" i="4"/>
  <c r="F9" i="4"/>
  <c r="E9" i="4"/>
  <c r="D9" i="4"/>
  <c r="C9" i="4"/>
  <c r="B9" i="4"/>
  <c r="T16" i="3"/>
  <c r="S16" i="3"/>
  <c r="R16" i="3"/>
  <c r="Q16" i="3"/>
  <c r="P16" i="3"/>
  <c r="O16" i="3"/>
  <c r="T15" i="3"/>
  <c r="S15" i="3"/>
  <c r="R15" i="3"/>
  <c r="Q15" i="3"/>
  <c r="P15" i="3"/>
  <c r="O15" i="3"/>
  <c r="T14" i="3"/>
  <c r="S14" i="3"/>
  <c r="R14" i="3"/>
  <c r="Q14" i="3"/>
  <c r="P14" i="3"/>
  <c r="O14" i="3"/>
  <c r="T13" i="3"/>
  <c r="S13" i="3"/>
  <c r="R13" i="3"/>
  <c r="Q13" i="3"/>
  <c r="P13" i="3"/>
  <c r="O13" i="3"/>
  <c r="T12" i="3"/>
  <c r="S12" i="3"/>
  <c r="R12" i="3"/>
  <c r="Q12" i="3"/>
  <c r="P12" i="3"/>
  <c r="O12" i="3"/>
  <c r="T11" i="3"/>
  <c r="S11" i="3"/>
  <c r="R11" i="3"/>
  <c r="Q11" i="3"/>
  <c r="P11" i="3"/>
  <c r="O11" i="3"/>
  <c r="T10" i="3"/>
  <c r="S10" i="3"/>
  <c r="R10" i="3"/>
  <c r="Q10" i="3"/>
  <c r="P10" i="3"/>
  <c r="O10" i="3"/>
  <c r="T9" i="3"/>
  <c r="S9" i="3"/>
  <c r="R9" i="3"/>
  <c r="Q9" i="3"/>
  <c r="P9" i="3"/>
  <c r="O9" i="3"/>
  <c r="T8" i="3"/>
  <c r="S8" i="3"/>
  <c r="R8" i="3"/>
  <c r="Q8" i="3"/>
  <c r="P8" i="3"/>
  <c r="O8" i="3"/>
  <c r="M16" i="3"/>
  <c r="L16" i="3"/>
  <c r="K16" i="3"/>
  <c r="J16" i="3"/>
  <c r="I16" i="3"/>
  <c r="H16" i="3"/>
  <c r="M15" i="3"/>
  <c r="L15" i="3"/>
  <c r="K15" i="3"/>
  <c r="J15" i="3"/>
  <c r="I15" i="3"/>
  <c r="H15" i="3"/>
  <c r="M14" i="3"/>
  <c r="L14" i="3"/>
  <c r="K14" i="3"/>
  <c r="J14" i="3"/>
  <c r="I14" i="3"/>
  <c r="H14" i="3"/>
  <c r="M13" i="3"/>
  <c r="L13" i="3"/>
  <c r="K13" i="3"/>
  <c r="J13" i="3"/>
  <c r="I13" i="3"/>
  <c r="H13" i="3"/>
  <c r="M12" i="3"/>
  <c r="L12" i="3"/>
  <c r="K12" i="3"/>
  <c r="J12" i="3"/>
  <c r="I12" i="3"/>
  <c r="H12" i="3"/>
  <c r="M11" i="3"/>
  <c r="L11" i="3"/>
  <c r="K11" i="3"/>
  <c r="J11" i="3"/>
  <c r="I11" i="3"/>
  <c r="H11" i="3"/>
  <c r="M10" i="3"/>
  <c r="L10" i="3"/>
  <c r="K10" i="3"/>
  <c r="J10" i="3"/>
  <c r="I10" i="3"/>
  <c r="H10" i="3"/>
  <c r="M9" i="3"/>
  <c r="L9" i="3"/>
  <c r="K9" i="3"/>
  <c r="J9" i="3"/>
  <c r="I9" i="3"/>
  <c r="H9" i="3"/>
  <c r="M8" i="3"/>
  <c r="L8" i="3"/>
  <c r="K8" i="3"/>
  <c r="J8" i="3"/>
  <c r="I8" i="3"/>
  <c r="H8" i="3"/>
  <c r="F16" i="3"/>
  <c r="E16" i="3"/>
  <c r="D16" i="3"/>
  <c r="C16" i="3"/>
  <c r="B16" i="3"/>
  <c r="A16" i="3"/>
  <c r="F15" i="3"/>
  <c r="E15" i="3"/>
  <c r="D15" i="3"/>
  <c r="C15" i="3"/>
  <c r="B15" i="3"/>
  <c r="A15" i="3"/>
  <c r="F14" i="3"/>
  <c r="E14" i="3"/>
  <c r="D14" i="3"/>
  <c r="C14" i="3"/>
  <c r="B14" i="3"/>
  <c r="A14" i="3"/>
  <c r="F13" i="3"/>
  <c r="E13" i="3"/>
  <c r="D13" i="3"/>
  <c r="C13" i="3"/>
  <c r="B13" i="3"/>
  <c r="A13" i="3"/>
  <c r="F12" i="3"/>
  <c r="E12" i="3"/>
  <c r="D12" i="3"/>
  <c r="C12" i="3"/>
  <c r="B12" i="3"/>
  <c r="A12" i="3"/>
  <c r="F11" i="3"/>
  <c r="E11" i="3"/>
  <c r="D11" i="3"/>
  <c r="C11" i="3"/>
  <c r="B11" i="3"/>
  <c r="A11" i="3"/>
  <c r="F10" i="3"/>
  <c r="E10" i="3"/>
  <c r="D10" i="3"/>
  <c r="C10" i="3"/>
  <c r="B10" i="3"/>
  <c r="A10" i="3"/>
  <c r="F9" i="3"/>
  <c r="E9" i="3"/>
  <c r="D9" i="3"/>
  <c r="C9" i="3"/>
  <c r="B9" i="3"/>
  <c r="A9" i="3"/>
  <c r="F8" i="3"/>
  <c r="E8" i="3"/>
  <c r="D8" i="3"/>
  <c r="C8" i="3"/>
  <c r="B8" i="3"/>
  <c r="A8" i="3"/>
</calcChain>
</file>

<file path=xl/sharedStrings.xml><?xml version="1.0" encoding="utf-8"?>
<sst xmlns="http://schemas.openxmlformats.org/spreadsheetml/2006/main" count="267" uniqueCount="31">
  <si>
    <t>Region</t>
  </si>
  <si>
    <t>UK</t>
  </si>
  <si>
    <t>France</t>
  </si>
  <si>
    <t>Germany</t>
  </si>
  <si>
    <t>Scandinavia</t>
  </si>
  <si>
    <t>Iberian Peninsula</t>
  </si>
  <si>
    <t>`</t>
  </si>
  <si>
    <t>DECADAL</t>
  </si>
  <si>
    <t>Europe (XWS Domain)</t>
  </si>
  <si>
    <t>1979-1988</t>
  </si>
  <si>
    <t>1989-1998</t>
  </si>
  <si>
    <t>1999-2008</t>
  </si>
  <si>
    <t>2009-2018</t>
  </si>
  <si>
    <t>1979-2018</t>
  </si>
  <si>
    <t>BeNeLux + Denmark</t>
  </si>
  <si>
    <t>2009-2021</t>
  </si>
  <si>
    <t>1979-2021</t>
  </si>
  <si>
    <t>BeNeLux</t>
  </si>
  <si>
    <t>BeNeLuxMark</t>
  </si>
  <si>
    <t>C3S Operational TIER 1 Indicators based on ERA5</t>
  </si>
  <si>
    <t>Number of extreme windstorms</t>
  </si>
  <si>
    <t>(&gt; 15.6 m/s)</t>
  </si>
  <si>
    <t>(&gt; 20.0 m/s)</t>
  </si>
  <si>
    <t>(&gt; 25.0 m/s)</t>
  </si>
  <si>
    <t>Mean severity of extreme windstorms (SSI - values x10^7)</t>
  </si>
  <si>
    <t>Number of windstorms (vorticity)</t>
  </si>
  <si>
    <t>Number of windstorms (u10m land only)</t>
  </si>
  <si>
    <t xml:space="preserve">Mean maximum wind speed (u10m land only) </t>
  </si>
  <si>
    <t>(u10m land only) (&gt; 15.6 m/s)</t>
  </si>
  <si>
    <t>(u10m land only) (&gt; 25.0 m/s)</t>
  </si>
  <si>
    <t>(u10m land only) (&gt; 20.0 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</si>
</sst>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6"/>
      <color theme="1"/>
      <name val="Calibri"/>
      <family val="2"/>
      <scheme val="minor"/>
    </font>
    <font>
      <b/>
      <sz val="12"/>
      <color theme="0"/>
      <name val="Calibri"/>
      <family val="2"/>
      <scheme val="minor"/>
    </font>
    <font>
      <sz val="12"/>
      <color theme="1"/>
      <name val="Calibri"/>
      <family val="2"/>
      <scheme val="minor"/>
    </font>
    <font>
      <b/>
      <sz val="16"/>
      <color theme="0"/>
      <name val="Calibri"/>
      <family val="2"/>
      <scheme val="minor"/>
    </font>
    <font>
      <sz val="16"/>
      <color theme="0"/>
      <name val="Calibri"/>
      <family val="2"/>
      <scheme val="minor"/>
    </font>
    <font>
      <sz val="16"/>
      <name val="Calibri"/>
      <family val="2"/>
      <scheme val="minor"/>
    </font>
  </fonts>
  <fills count="3">
    <fill>
      <patternFill patternType="none"/>
    </fill>
    <fill>
      <patternFill patternType="gray125"/>
    </fill>
    <fill>
      <patternFill patternType="solid">
        <fgColor rgb="FF7A0B2C"/>
        <bgColor indexed="64"/>
      </patternFill>
    </fill>
  </fills>
  <borders count="3">
    <border>
      <left/>
      <right/>
      <top/>
      <bottom/>
      <diagonal/>
    </border>
    <border>
      <left style="thin">
        <color rgb="FF7A0B2C"/>
      </left>
      <right style="thin">
        <color rgb="FF7A0B2C"/>
      </right>
      <top style="thin">
        <color rgb="FF7A0B2C"/>
      </top>
      <bottom style="thin">
        <color rgb="FF7A0B2C"/>
      </bottom>
      <diagonal/>
    </border>
    <border>
      <left style="thin">
        <color rgb="FF7A0B2C"/>
      </left>
      <right style="thin">
        <color rgb="FF7A0B2C"/>
      </right>
      <top/>
      <bottom/>
      <diagonal/>
    </border>
  </borders>
  <cellStyleXfs count="1">
    <xf numFmtId="0" fontId="0" fillId="0" borderId="0"/>
  </cellStyleXfs>
  <cellXfs count="19">
    <xf numFmtId="0" fontId="0" fillId="0" borderId="0" xfId="0"/>
    <xf numFmtId="0" fontId="0" fillId="0" borderId="0" xfId="0" applyBorder="1"/>
    <xf numFmtId="0" fontId="1" fillId="0" borderId="0" xfId="0" applyFont="1"/>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3" fontId="3" fillId="0" borderId="1" xfId="0" applyNumberFormat="1" applyFont="1" applyBorder="1" applyAlignment="1">
      <alignment horizontal="right" vertical="center" indent="1"/>
    </xf>
    <xf numFmtId="4" fontId="3" fillId="0" borderId="1" xfId="0" applyNumberFormat="1" applyFont="1" applyBorder="1" applyAlignment="1">
      <alignment horizontal="right" vertical="center" indent="1"/>
    </xf>
    <xf numFmtId="0" fontId="2" fillId="2" borderId="2" xfId="0" applyFont="1" applyFill="1" applyBorder="1" applyAlignment="1">
      <alignment horizontal="center" vertical="center" wrapText="1"/>
    </xf>
    <xf numFmtId="0" fontId="0" fillId="0" borderId="1" xfId="0" applyBorder="1"/>
    <xf numFmtId="0" fontId="4" fillId="0" borderId="0" xfId="0" applyFont="1" applyFill="1" applyBorder="1" applyAlignment="1">
      <alignment horizontal="left" vertical="center" wrapText="1"/>
    </xf>
    <xf numFmtId="0" fontId="0" fillId="0" borderId="0" xfId="0"/>
    <xf numFmtId="0" fontId="6" fillId="0" borderId="0" xfId="0" applyFont="1" applyFill="1" applyBorder="1" applyAlignment="1">
      <alignment horizontal="left" vertical="center" wrapText="1"/>
    </xf>
    <xf numFmtId="0" fontId="5" fillId="0" borderId="0" xfId="0" applyFont="1" applyFill="1" applyBorder="1" applyAlignment="1">
      <alignment horizontal="left" vertical="center" wrapText="1"/>
    </xf>
    <xf numFmtId="11" fontId="0" fillId="0" borderId="0" xfId="0" applyNumberFormat="1"/>
    <xf numFmtId="0" fontId="0" fillId="0" borderId="0" xfId="0"/>
    <xf numFmtId="0" fontId="0" fillId="0" borderId="0" xfId="0"/>
    <xf numFmtId="0" fontId="0" fillId="0" borderId="0" xfId="0"/>
    <xf numFmtId="0" fontId="4" fillId="2" borderId="0" xfId="0" applyFont="1" applyFill="1" applyBorder="1" applyAlignment="1">
      <alignment horizontal="left" vertical="center"/>
    </xf>
    <xf numFmtId="0" fontId="4" fillId="2" borderId="0"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 Id="rId14"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Number of Extra Tropical Cyclones (ERA5 - Vorticity)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'Graphs - Total No Storms'!$A$9</c:f>
              <c:strCache>
                <c:ptCount val="1"/>
                <c:pt idx="0">
                  <c:v>UK</c:v>
                </c:pt>
              </c:strCache>
            </c:strRef>
          </c:tx>
          <c:spPr>
            <a:solidFill>
              <a:schemeClr val="accent2"/>
            </a:solidFill>
            <a:ln>
              <a:noFill/>
            </a:ln>
            <a:effectLst/>
          </c:spPr>
          <c:invertIfNegative val="0"/>
          <c:cat>
            <c:strRef>
              <c:f>'Graphs - Total No Storms'!$B$7:$F$7</c:f>
              <c:strCache>
                <c:ptCount val="5"/>
                <c:pt idx="0">
                  <c:v>1979-1988</c:v>
                </c:pt>
                <c:pt idx="1">
                  <c:v>1989-1998</c:v>
                </c:pt>
                <c:pt idx="2">
                  <c:v>1999-2008</c:v>
                </c:pt>
                <c:pt idx="3">
                  <c:v>2009-2021</c:v>
                </c:pt>
                <c:pt idx="4">
                  <c:v>1979-2021</c:v>
                </c:pt>
              </c:strCache>
            </c:strRef>
          </c:cat>
          <c:val>
            <c:numRef>
              <c:f>'Graphs - Total No Storms'!$B$9:$E$9</c:f>
              <c:numCache>
                <c:formatCode>#,##0</c:formatCode>
                <c:ptCount val="4"/>
                <c:pt idx="0">
                  <c:v>311</c:v>
                </c:pt>
                <c:pt idx="1">
                  <c:v>286</c:v>
                </c:pt>
                <c:pt idx="2">
                  <c:v>293</c:v>
                </c:pt>
                <c:pt idx="3">
                  <c:v>370</c:v>
                </c:pt>
              </c:numCache>
            </c:numRef>
          </c:val>
          <c:extLst>
            <c:ext xmlns:c16="http://schemas.microsoft.com/office/drawing/2014/chart" uri="{C3380CC4-5D6E-409C-BE32-E72D297353CC}">
              <c16:uniqueId val="{00000002-E2BE-428B-BD86-0719B91170E2}"/>
            </c:ext>
          </c:extLst>
        </c:ser>
        <c:ser>
          <c:idx val="2"/>
          <c:order val="2"/>
          <c:tx>
            <c:strRef>
              <c:f>'Graphs - Total No Storms'!$A$10</c:f>
              <c:strCache>
                <c:ptCount val="1"/>
                <c:pt idx="0">
                  <c:v>France</c:v>
                </c:pt>
              </c:strCache>
            </c:strRef>
          </c:tx>
          <c:spPr>
            <a:solidFill>
              <a:schemeClr val="accent3"/>
            </a:solidFill>
            <a:ln>
              <a:noFill/>
            </a:ln>
            <a:effectLst/>
          </c:spPr>
          <c:invertIfNegative val="0"/>
          <c:cat>
            <c:strRef>
              <c:f>'Graphs - Total No Storms'!$B$7:$F$7</c:f>
              <c:strCache>
                <c:ptCount val="5"/>
                <c:pt idx="0">
                  <c:v>1979-1988</c:v>
                </c:pt>
                <c:pt idx="1">
                  <c:v>1989-1998</c:v>
                </c:pt>
                <c:pt idx="2">
                  <c:v>1999-2008</c:v>
                </c:pt>
                <c:pt idx="3">
                  <c:v>2009-2021</c:v>
                </c:pt>
                <c:pt idx="4">
                  <c:v>1979-2021</c:v>
                </c:pt>
              </c:strCache>
            </c:strRef>
          </c:cat>
          <c:val>
            <c:numRef>
              <c:f>'Graphs - Total No Storms'!$B$10:$E$10</c:f>
              <c:numCache>
                <c:formatCode>#,##0</c:formatCode>
                <c:ptCount val="4"/>
                <c:pt idx="0">
                  <c:v>230</c:v>
                </c:pt>
                <c:pt idx="1">
                  <c:v>203</c:v>
                </c:pt>
                <c:pt idx="2">
                  <c:v>211</c:v>
                </c:pt>
                <c:pt idx="3">
                  <c:v>272</c:v>
                </c:pt>
              </c:numCache>
            </c:numRef>
          </c:val>
          <c:extLst>
            <c:ext xmlns:c16="http://schemas.microsoft.com/office/drawing/2014/chart" uri="{C3380CC4-5D6E-409C-BE32-E72D297353CC}">
              <c16:uniqueId val="{00000003-E2BE-428B-BD86-0719B91170E2}"/>
            </c:ext>
          </c:extLst>
        </c:ser>
        <c:ser>
          <c:idx val="3"/>
          <c:order val="3"/>
          <c:tx>
            <c:strRef>
              <c:f>'Graphs - Total No Storms'!$A$11</c:f>
              <c:strCache>
                <c:ptCount val="1"/>
                <c:pt idx="0">
                  <c:v>Germany</c:v>
                </c:pt>
              </c:strCache>
            </c:strRef>
          </c:tx>
          <c:spPr>
            <a:solidFill>
              <a:schemeClr val="accent4"/>
            </a:solidFill>
            <a:ln>
              <a:noFill/>
            </a:ln>
            <a:effectLst/>
          </c:spPr>
          <c:invertIfNegative val="0"/>
          <c:cat>
            <c:strRef>
              <c:f>'Graphs - Total No Storms'!$B$7:$F$7</c:f>
              <c:strCache>
                <c:ptCount val="5"/>
                <c:pt idx="0">
                  <c:v>1979-1988</c:v>
                </c:pt>
                <c:pt idx="1">
                  <c:v>1989-1998</c:v>
                </c:pt>
                <c:pt idx="2">
                  <c:v>1999-2008</c:v>
                </c:pt>
                <c:pt idx="3">
                  <c:v>2009-2021</c:v>
                </c:pt>
                <c:pt idx="4">
                  <c:v>1979-2021</c:v>
                </c:pt>
              </c:strCache>
            </c:strRef>
          </c:cat>
          <c:val>
            <c:numRef>
              <c:f>'Graphs - Total No Storms'!$B$11:$E$11</c:f>
              <c:numCache>
                <c:formatCode>#,##0</c:formatCode>
                <c:ptCount val="4"/>
                <c:pt idx="0">
                  <c:v>140</c:v>
                </c:pt>
                <c:pt idx="1">
                  <c:v>131</c:v>
                </c:pt>
                <c:pt idx="2">
                  <c:v>140</c:v>
                </c:pt>
                <c:pt idx="3">
                  <c:v>168</c:v>
                </c:pt>
              </c:numCache>
            </c:numRef>
          </c:val>
          <c:extLst>
            <c:ext xmlns:c16="http://schemas.microsoft.com/office/drawing/2014/chart" uri="{C3380CC4-5D6E-409C-BE32-E72D297353CC}">
              <c16:uniqueId val="{00000004-E2BE-428B-BD86-0719B91170E2}"/>
            </c:ext>
          </c:extLst>
        </c:ser>
        <c:ser>
          <c:idx val="4"/>
          <c:order val="4"/>
          <c:tx>
            <c:strRef>
              <c:f>'Graphs - Total No Storms'!$A$12</c:f>
              <c:strCache>
                <c:ptCount val="1"/>
                <c:pt idx="0">
                  <c:v>BeNeLux</c:v>
                </c:pt>
              </c:strCache>
            </c:strRef>
          </c:tx>
          <c:spPr>
            <a:solidFill>
              <a:schemeClr val="accent5"/>
            </a:solidFill>
            <a:ln>
              <a:noFill/>
            </a:ln>
            <a:effectLst/>
          </c:spPr>
          <c:invertIfNegative val="0"/>
          <c:cat>
            <c:strRef>
              <c:f>'Graphs - Total No Storms'!$B$7:$F$7</c:f>
              <c:strCache>
                <c:ptCount val="5"/>
                <c:pt idx="0">
                  <c:v>1979-1988</c:v>
                </c:pt>
                <c:pt idx="1">
                  <c:v>1989-1998</c:v>
                </c:pt>
                <c:pt idx="2">
                  <c:v>1999-2008</c:v>
                </c:pt>
                <c:pt idx="3">
                  <c:v>2009-2021</c:v>
                </c:pt>
                <c:pt idx="4">
                  <c:v>1979-2021</c:v>
                </c:pt>
              </c:strCache>
            </c:strRef>
          </c:cat>
          <c:val>
            <c:numRef>
              <c:f>'Graphs - Total No Storms'!$B$12:$E$12</c:f>
              <c:numCache>
                <c:formatCode>#,##0</c:formatCode>
                <c:ptCount val="4"/>
                <c:pt idx="0">
                  <c:v>88</c:v>
                </c:pt>
                <c:pt idx="1">
                  <c:v>60</c:v>
                </c:pt>
                <c:pt idx="2">
                  <c:v>69</c:v>
                </c:pt>
                <c:pt idx="3">
                  <c:v>85</c:v>
                </c:pt>
              </c:numCache>
            </c:numRef>
          </c:val>
          <c:extLst>
            <c:ext xmlns:c16="http://schemas.microsoft.com/office/drawing/2014/chart" uri="{C3380CC4-5D6E-409C-BE32-E72D297353CC}">
              <c16:uniqueId val="{00000005-E2BE-428B-BD86-0719B91170E2}"/>
            </c:ext>
          </c:extLst>
        </c:ser>
        <c:ser>
          <c:idx val="5"/>
          <c:order val="5"/>
          <c:tx>
            <c:strRef>
              <c:f>'Graphs - Total No Storms'!$A$13</c:f>
              <c:strCache>
                <c:ptCount val="1"/>
                <c:pt idx="0">
                  <c:v>BeNeLuxMark</c:v>
                </c:pt>
              </c:strCache>
            </c:strRef>
          </c:tx>
          <c:spPr>
            <a:solidFill>
              <a:schemeClr val="accent6"/>
            </a:solidFill>
            <a:ln>
              <a:noFill/>
            </a:ln>
            <a:effectLst/>
          </c:spPr>
          <c:invertIfNegative val="0"/>
          <c:cat>
            <c:strRef>
              <c:f>'Graphs - Total No Storms'!$B$7:$F$7</c:f>
              <c:strCache>
                <c:ptCount val="5"/>
                <c:pt idx="0">
                  <c:v>1979-1988</c:v>
                </c:pt>
                <c:pt idx="1">
                  <c:v>1989-1998</c:v>
                </c:pt>
                <c:pt idx="2">
                  <c:v>1999-2008</c:v>
                </c:pt>
                <c:pt idx="3">
                  <c:v>2009-2021</c:v>
                </c:pt>
                <c:pt idx="4">
                  <c:v>1979-2021</c:v>
                </c:pt>
              </c:strCache>
            </c:strRef>
          </c:cat>
          <c:val>
            <c:numRef>
              <c:f>'Graphs - Total No Storms'!$B$13:$E$13</c:f>
              <c:numCache>
                <c:formatCode>#,##0</c:formatCode>
                <c:ptCount val="4"/>
                <c:pt idx="0">
                  <c:v>186</c:v>
                </c:pt>
                <c:pt idx="1">
                  <c:v>151</c:v>
                </c:pt>
                <c:pt idx="2">
                  <c:v>151</c:v>
                </c:pt>
                <c:pt idx="3">
                  <c:v>195</c:v>
                </c:pt>
              </c:numCache>
            </c:numRef>
          </c:val>
          <c:extLst>
            <c:ext xmlns:c16="http://schemas.microsoft.com/office/drawing/2014/chart" uri="{C3380CC4-5D6E-409C-BE32-E72D297353CC}">
              <c16:uniqueId val="{00000006-E2BE-428B-BD86-0719B91170E2}"/>
            </c:ext>
          </c:extLst>
        </c:ser>
        <c:ser>
          <c:idx val="6"/>
          <c:order val="6"/>
          <c:tx>
            <c:strRef>
              <c:f>'Graphs - Total No Storms'!$A$14</c:f>
              <c:strCache>
                <c:ptCount val="1"/>
                <c:pt idx="0">
                  <c:v>Scandinavia</c:v>
                </c:pt>
              </c:strCache>
            </c:strRef>
          </c:tx>
          <c:spPr>
            <a:solidFill>
              <a:schemeClr val="accent1">
                <a:lumMod val="60000"/>
              </a:schemeClr>
            </a:solidFill>
            <a:ln>
              <a:noFill/>
            </a:ln>
            <a:effectLst/>
          </c:spPr>
          <c:invertIfNegative val="0"/>
          <c:cat>
            <c:strRef>
              <c:f>'Graphs - Total No Storms'!$B$7:$F$7</c:f>
              <c:strCache>
                <c:ptCount val="5"/>
                <c:pt idx="0">
                  <c:v>1979-1988</c:v>
                </c:pt>
                <c:pt idx="1">
                  <c:v>1989-1998</c:v>
                </c:pt>
                <c:pt idx="2">
                  <c:v>1999-2008</c:v>
                </c:pt>
                <c:pt idx="3">
                  <c:v>2009-2021</c:v>
                </c:pt>
                <c:pt idx="4">
                  <c:v>1979-2021</c:v>
                </c:pt>
              </c:strCache>
            </c:strRef>
          </c:cat>
          <c:val>
            <c:numRef>
              <c:f>'Graphs - Total No Storms'!$B$14:$E$14</c:f>
              <c:numCache>
                <c:formatCode>#,##0</c:formatCode>
                <c:ptCount val="4"/>
                <c:pt idx="0">
                  <c:v>546</c:v>
                </c:pt>
                <c:pt idx="1">
                  <c:v>593</c:v>
                </c:pt>
                <c:pt idx="2">
                  <c:v>527</c:v>
                </c:pt>
                <c:pt idx="3">
                  <c:v>678</c:v>
                </c:pt>
              </c:numCache>
            </c:numRef>
          </c:val>
          <c:extLst>
            <c:ext xmlns:c16="http://schemas.microsoft.com/office/drawing/2014/chart" uri="{C3380CC4-5D6E-409C-BE32-E72D297353CC}">
              <c16:uniqueId val="{00000007-E2BE-428B-BD86-0719B91170E2}"/>
            </c:ext>
          </c:extLst>
        </c:ser>
        <c:ser>
          <c:idx val="7"/>
          <c:order val="7"/>
          <c:tx>
            <c:strRef>
              <c:f>'Graphs - Total No Storms'!$A$15</c:f>
              <c:strCache>
                <c:ptCount val="1"/>
                <c:pt idx="0">
                  <c:v>Iberian Peninsula</c:v>
                </c:pt>
              </c:strCache>
            </c:strRef>
          </c:tx>
          <c:spPr>
            <a:solidFill>
              <a:schemeClr val="accent2">
                <a:lumMod val="60000"/>
              </a:schemeClr>
            </a:solidFill>
            <a:ln>
              <a:noFill/>
            </a:ln>
            <a:effectLst/>
          </c:spPr>
          <c:invertIfNegative val="0"/>
          <c:cat>
            <c:strRef>
              <c:f>'Graphs - Total No Storms'!$B$7:$F$7</c:f>
              <c:strCache>
                <c:ptCount val="5"/>
                <c:pt idx="0">
                  <c:v>1979-1988</c:v>
                </c:pt>
                <c:pt idx="1">
                  <c:v>1989-1998</c:v>
                </c:pt>
                <c:pt idx="2">
                  <c:v>1999-2008</c:v>
                </c:pt>
                <c:pt idx="3">
                  <c:v>2009-2021</c:v>
                </c:pt>
                <c:pt idx="4">
                  <c:v>1979-2021</c:v>
                </c:pt>
              </c:strCache>
            </c:strRef>
          </c:cat>
          <c:val>
            <c:numRef>
              <c:f>'Graphs - Total No Storms'!$B$15:$E$15</c:f>
              <c:numCache>
                <c:formatCode>#,##0</c:formatCode>
                <c:ptCount val="4"/>
                <c:pt idx="0">
                  <c:v>167</c:v>
                </c:pt>
                <c:pt idx="1">
                  <c:v>165</c:v>
                </c:pt>
                <c:pt idx="2">
                  <c:v>171</c:v>
                </c:pt>
                <c:pt idx="3">
                  <c:v>245</c:v>
                </c:pt>
              </c:numCache>
            </c:numRef>
          </c:val>
          <c:extLst>
            <c:ext xmlns:c16="http://schemas.microsoft.com/office/drawing/2014/chart" uri="{C3380CC4-5D6E-409C-BE32-E72D297353CC}">
              <c16:uniqueId val="{00000008-E2BE-428B-BD86-0719B91170E2}"/>
            </c:ext>
          </c:extLst>
        </c:ser>
        <c:dLbls>
          <c:showLegendKey val="0"/>
          <c:showVal val="0"/>
          <c:showCatName val="0"/>
          <c:showSerName val="0"/>
          <c:showPercent val="0"/>
          <c:showBubbleSize val="0"/>
        </c:dLbls>
        <c:gapWidth val="247"/>
        <c:axId val="40652800"/>
        <c:axId val="40654336"/>
      </c:barChart>
      <c:lineChart>
        <c:grouping val="standard"/>
        <c:varyColors val="0"/>
        <c:ser>
          <c:idx val="0"/>
          <c:order val="0"/>
          <c:tx>
            <c:strRef>
              <c:f>'Graphs - Total No Storms'!$A$8</c:f>
              <c:strCache>
                <c:ptCount val="1"/>
                <c:pt idx="0">
                  <c:v>Europe (XWS Domain)</c:v>
                </c:pt>
              </c:strCache>
            </c:strRef>
          </c:tx>
          <c:spPr>
            <a:ln w="28575" cap="rnd">
              <a:solidFill>
                <a:schemeClr val="accent1"/>
              </a:solidFill>
              <a:round/>
            </a:ln>
            <a:effectLst/>
          </c:spPr>
          <c:marker>
            <c:symbol val="none"/>
          </c:marker>
          <c:cat>
            <c:strRef>
              <c:f>'Graphs - Total No Storms'!$B$7:$F$7</c:f>
              <c:strCache>
                <c:ptCount val="5"/>
                <c:pt idx="0">
                  <c:v>1979-1988</c:v>
                </c:pt>
                <c:pt idx="1">
                  <c:v>1989-1998</c:v>
                </c:pt>
                <c:pt idx="2">
                  <c:v>1999-2008</c:v>
                </c:pt>
                <c:pt idx="3">
                  <c:v>2009-2021</c:v>
                </c:pt>
                <c:pt idx="4">
                  <c:v>1979-2021</c:v>
                </c:pt>
              </c:strCache>
            </c:strRef>
          </c:cat>
          <c:val>
            <c:numRef>
              <c:f>'Graphs - Total No Storms'!$B$8:$E$8</c:f>
              <c:numCache>
                <c:formatCode>#,##0</c:formatCode>
                <c:ptCount val="4"/>
                <c:pt idx="0">
                  <c:v>1106</c:v>
                </c:pt>
                <c:pt idx="1">
                  <c:v>1100</c:v>
                </c:pt>
                <c:pt idx="2">
                  <c:v>1070</c:v>
                </c:pt>
                <c:pt idx="3">
                  <c:v>1385</c:v>
                </c:pt>
              </c:numCache>
            </c:numRef>
          </c:val>
          <c:smooth val="0"/>
          <c:extLst>
            <c:ext xmlns:c16="http://schemas.microsoft.com/office/drawing/2014/chart" uri="{C3380CC4-5D6E-409C-BE32-E72D297353CC}">
              <c16:uniqueId val="{00000001-E2BE-428B-BD86-0719B91170E2}"/>
            </c:ext>
          </c:extLst>
        </c:ser>
        <c:dLbls>
          <c:showLegendKey val="0"/>
          <c:showVal val="0"/>
          <c:showCatName val="0"/>
          <c:showSerName val="0"/>
          <c:showPercent val="0"/>
          <c:showBubbleSize val="0"/>
        </c:dLbls>
        <c:marker val="1"/>
        <c:smooth val="0"/>
        <c:axId val="828436792"/>
        <c:axId val="828435480"/>
      </c:lineChart>
      <c:catAx>
        <c:axId val="406528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4336"/>
        <c:crosses val="autoZero"/>
        <c:auto val="1"/>
        <c:lblAlgn val="ctr"/>
        <c:lblOffset val="100"/>
        <c:noMultiLvlLbl val="0"/>
      </c:catAx>
      <c:valAx>
        <c:axId val="40654336"/>
        <c:scaling>
          <c:orientation val="minMax"/>
          <c:max val="14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ETCs per country / region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2800"/>
        <c:crosses val="autoZero"/>
        <c:crossBetween val="between"/>
      </c:valAx>
      <c:valAx>
        <c:axId val="828435480"/>
        <c:scaling>
          <c:orientation val="minMax"/>
          <c:max val="1400"/>
          <c:min val="0"/>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36792"/>
        <c:crosses val="max"/>
        <c:crossBetween val="between"/>
      </c:valAx>
      <c:catAx>
        <c:axId val="828436792"/>
        <c:scaling>
          <c:orientation val="minMax"/>
        </c:scaling>
        <c:delete val="1"/>
        <c:axPos val="b"/>
        <c:numFmt formatCode="General" sourceLinked="1"/>
        <c:majorTickMark val="none"/>
        <c:minorTickMark val="none"/>
        <c:tickLblPos val="nextTo"/>
        <c:crossAx val="82843548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Number of Extra Tropical Cyclones (ERA5 - u10m Land only)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 Total No Storms'!$A$21</c:f>
              <c:strCache>
                <c:ptCount val="1"/>
                <c:pt idx="0">
                  <c:v>UK</c:v>
                </c:pt>
              </c:strCache>
            </c:strRef>
          </c:tx>
          <c:spPr>
            <a:solidFill>
              <a:schemeClr val="accent2">
                <a:lumMod val="75000"/>
              </a:schemeClr>
            </a:solidFill>
            <a:ln>
              <a:noFill/>
            </a:ln>
            <a:effectLst/>
          </c:spPr>
          <c:invertIfNegative val="0"/>
          <c:cat>
            <c:strRef>
              <c:f>'Graphs - Total No Storms'!$B$19:$E$19</c:f>
              <c:strCache>
                <c:ptCount val="4"/>
                <c:pt idx="0">
                  <c:v>1979-1988</c:v>
                </c:pt>
                <c:pt idx="1">
                  <c:v>1989-1998</c:v>
                </c:pt>
                <c:pt idx="2">
                  <c:v>1999-2008</c:v>
                </c:pt>
                <c:pt idx="3">
                  <c:v>2009-2021</c:v>
                </c:pt>
              </c:strCache>
            </c:strRef>
          </c:cat>
          <c:val>
            <c:numRef>
              <c:f>'Graphs - Total No Storms'!$B$21:$E$21</c:f>
              <c:numCache>
                <c:formatCode>#,##0</c:formatCode>
                <c:ptCount val="4"/>
                <c:pt idx="0">
                  <c:v>69</c:v>
                </c:pt>
                <c:pt idx="1">
                  <c:v>50</c:v>
                </c:pt>
                <c:pt idx="2">
                  <c:v>66</c:v>
                </c:pt>
                <c:pt idx="3">
                  <c:v>71</c:v>
                </c:pt>
              </c:numCache>
            </c:numRef>
          </c:val>
          <c:extLst>
            <c:ext xmlns:c16="http://schemas.microsoft.com/office/drawing/2014/chart" uri="{C3380CC4-5D6E-409C-BE32-E72D297353CC}">
              <c16:uniqueId val="{00000001-15BA-424C-82EA-BFCE8BEC07EC}"/>
            </c:ext>
          </c:extLst>
        </c:ser>
        <c:ser>
          <c:idx val="1"/>
          <c:order val="1"/>
          <c:tx>
            <c:strRef>
              <c:f>'Graphs - Total No Storms'!$A$22</c:f>
              <c:strCache>
                <c:ptCount val="1"/>
                <c:pt idx="0">
                  <c:v>France</c:v>
                </c:pt>
              </c:strCache>
            </c:strRef>
          </c:tx>
          <c:spPr>
            <a:solidFill>
              <a:schemeClr val="accent3">
                <a:lumMod val="75000"/>
              </a:schemeClr>
            </a:solidFill>
            <a:ln>
              <a:noFill/>
            </a:ln>
            <a:effectLst/>
          </c:spPr>
          <c:invertIfNegative val="0"/>
          <c:cat>
            <c:strRef>
              <c:f>'Graphs - Total No Storms'!$B$19:$E$19</c:f>
              <c:strCache>
                <c:ptCount val="4"/>
                <c:pt idx="0">
                  <c:v>1979-1988</c:v>
                </c:pt>
                <c:pt idx="1">
                  <c:v>1989-1998</c:v>
                </c:pt>
                <c:pt idx="2">
                  <c:v>1999-2008</c:v>
                </c:pt>
                <c:pt idx="3">
                  <c:v>2009-2021</c:v>
                </c:pt>
              </c:strCache>
            </c:strRef>
          </c:cat>
          <c:val>
            <c:numRef>
              <c:f>'Graphs - Total No Storms'!$B$22:$E$22</c:f>
              <c:numCache>
                <c:formatCode>#,##0</c:formatCode>
                <c:ptCount val="4"/>
                <c:pt idx="0">
                  <c:v>88</c:v>
                </c:pt>
                <c:pt idx="1">
                  <c:v>81</c:v>
                </c:pt>
                <c:pt idx="2">
                  <c:v>71</c:v>
                </c:pt>
                <c:pt idx="3">
                  <c:v>98</c:v>
                </c:pt>
              </c:numCache>
            </c:numRef>
          </c:val>
          <c:extLst>
            <c:ext xmlns:c16="http://schemas.microsoft.com/office/drawing/2014/chart" uri="{C3380CC4-5D6E-409C-BE32-E72D297353CC}">
              <c16:uniqueId val="{00000002-15BA-424C-82EA-BFCE8BEC07EC}"/>
            </c:ext>
          </c:extLst>
        </c:ser>
        <c:ser>
          <c:idx val="2"/>
          <c:order val="2"/>
          <c:tx>
            <c:strRef>
              <c:f>'Graphs - Total No Storms'!$A$23</c:f>
              <c:strCache>
                <c:ptCount val="1"/>
                <c:pt idx="0">
                  <c:v>Germany</c:v>
                </c:pt>
              </c:strCache>
            </c:strRef>
          </c:tx>
          <c:spPr>
            <a:solidFill>
              <a:schemeClr val="accent4">
                <a:lumMod val="75000"/>
              </a:schemeClr>
            </a:solidFill>
            <a:ln>
              <a:noFill/>
            </a:ln>
            <a:effectLst/>
          </c:spPr>
          <c:invertIfNegative val="0"/>
          <c:cat>
            <c:strRef>
              <c:f>'Graphs - Total No Storms'!$B$19:$E$19</c:f>
              <c:strCache>
                <c:ptCount val="4"/>
                <c:pt idx="0">
                  <c:v>1979-1988</c:v>
                </c:pt>
                <c:pt idx="1">
                  <c:v>1989-1998</c:v>
                </c:pt>
                <c:pt idx="2">
                  <c:v>1999-2008</c:v>
                </c:pt>
                <c:pt idx="3">
                  <c:v>2009-2021</c:v>
                </c:pt>
              </c:strCache>
            </c:strRef>
          </c:cat>
          <c:val>
            <c:numRef>
              <c:f>'Graphs - Total No Storms'!$B$23:$E$23</c:f>
              <c:numCache>
                <c:formatCode>#,##0</c:formatCode>
                <c:ptCount val="4"/>
                <c:pt idx="0">
                  <c:v>44</c:v>
                </c:pt>
                <c:pt idx="1">
                  <c:v>51</c:v>
                </c:pt>
                <c:pt idx="2">
                  <c:v>46</c:v>
                </c:pt>
                <c:pt idx="3">
                  <c:v>48</c:v>
                </c:pt>
              </c:numCache>
            </c:numRef>
          </c:val>
          <c:extLst>
            <c:ext xmlns:c16="http://schemas.microsoft.com/office/drawing/2014/chart" uri="{C3380CC4-5D6E-409C-BE32-E72D297353CC}">
              <c16:uniqueId val="{00000003-15BA-424C-82EA-BFCE8BEC07EC}"/>
            </c:ext>
          </c:extLst>
        </c:ser>
        <c:ser>
          <c:idx val="3"/>
          <c:order val="3"/>
          <c:tx>
            <c:strRef>
              <c:f>'Graphs - Total No Storms'!$A$24</c:f>
              <c:strCache>
                <c:ptCount val="1"/>
                <c:pt idx="0">
                  <c:v>BeNeLux</c:v>
                </c:pt>
              </c:strCache>
            </c:strRef>
          </c:tx>
          <c:spPr>
            <a:solidFill>
              <a:schemeClr val="accent5">
                <a:lumMod val="75000"/>
              </a:schemeClr>
            </a:solidFill>
            <a:ln>
              <a:noFill/>
            </a:ln>
            <a:effectLst/>
          </c:spPr>
          <c:invertIfNegative val="0"/>
          <c:cat>
            <c:strRef>
              <c:f>'Graphs - Total No Storms'!$B$19:$E$19</c:f>
              <c:strCache>
                <c:ptCount val="4"/>
                <c:pt idx="0">
                  <c:v>1979-1988</c:v>
                </c:pt>
                <c:pt idx="1">
                  <c:v>1989-1998</c:v>
                </c:pt>
                <c:pt idx="2">
                  <c:v>1999-2008</c:v>
                </c:pt>
                <c:pt idx="3">
                  <c:v>2009-2021</c:v>
                </c:pt>
              </c:strCache>
            </c:strRef>
          </c:cat>
          <c:val>
            <c:numRef>
              <c:f>'Graphs - Total No Storms'!$B$24:$E$24</c:f>
              <c:numCache>
                <c:formatCode>#,##0</c:formatCode>
                <c:ptCount val="4"/>
                <c:pt idx="0">
                  <c:v>41</c:v>
                </c:pt>
                <c:pt idx="1">
                  <c:v>41</c:v>
                </c:pt>
                <c:pt idx="2">
                  <c:v>29</c:v>
                </c:pt>
                <c:pt idx="3">
                  <c:v>28</c:v>
                </c:pt>
              </c:numCache>
            </c:numRef>
          </c:val>
          <c:extLst>
            <c:ext xmlns:c16="http://schemas.microsoft.com/office/drawing/2014/chart" uri="{C3380CC4-5D6E-409C-BE32-E72D297353CC}">
              <c16:uniqueId val="{00000004-15BA-424C-82EA-BFCE8BEC07EC}"/>
            </c:ext>
          </c:extLst>
        </c:ser>
        <c:ser>
          <c:idx val="4"/>
          <c:order val="4"/>
          <c:tx>
            <c:strRef>
              <c:f>'Graphs - Total No Storms'!$A$25</c:f>
              <c:strCache>
                <c:ptCount val="1"/>
                <c:pt idx="0">
                  <c:v>BeNeLuxMark</c:v>
                </c:pt>
              </c:strCache>
            </c:strRef>
          </c:tx>
          <c:spPr>
            <a:solidFill>
              <a:schemeClr val="accent6">
                <a:lumMod val="75000"/>
              </a:schemeClr>
            </a:solidFill>
            <a:ln>
              <a:noFill/>
            </a:ln>
            <a:effectLst/>
          </c:spPr>
          <c:invertIfNegative val="0"/>
          <c:cat>
            <c:strRef>
              <c:f>'Graphs - Total No Storms'!$B$19:$E$19</c:f>
              <c:strCache>
                <c:ptCount val="4"/>
                <c:pt idx="0">
                  <c:v>1979-1988</c:v>
                </c:pt>
                <c:pt idx="1">
                  <c:v>1989-1998</c:v>
                </c:pt>
                <c:pt idx="2">
                  <c:v>1999-2008</c:v>
                </c:pt>
                <c:pt idx="3">
                  <c:v>2009-2021</c:v>
                </c:pt>
              </c:strCache>
            </c:strRef>
          </c:cat>
          <c:val>
            <c:numRef>
              <c:f>'Graphs - Total No Storms'!$B$25:$E$25</c:f>
              <c:numCache>
                <c:formatCode>#,##0</c:formatCode>
                <c:ptCount val="4"/>
                <c:pt idx="0">
                  <c:v>69</c:v>
                </c:pt>
                <c:pt idx="1">
                  <c:v>82</c:v>
                </c:pt>
                <c:pt idx="2">
                  <c:v>61</c:v>
                </c:pt>
                <c:pt idx="3">
                  <c:v>67</c:v>
                </c:pt>
              </c:numCache>
            </c:numRef>
          </c:val>
          <c:extLst>
            <c:ext xmlns:c16="http://schemas.microsoft.com/office/drawing/2014/chart" uri="{C3380CC4-5D6E-409C-BE32-E72D297353CC}">
              <c16:uniqueId val="{00000005-15BA-424C-82EA-BFCE8BEC07EC}"/>
            </c:ext>
          </c:extLst>
        </c:ser>
        <c:ser>
          <c:idx val="5"/>
          <c:order val="5"/>
          <c:tx>
            <c:strRef>
              <c:f>'Graphs - Total No Storms'!$A$26</c:f>
              <c:strCache>
                <c:ptCount val="1"/>
                <c:pt idx="0">
                  <c:v>Scandinavia</c:v>
                </c:pt>
              </c:strCache>
            </c:strRef>
          </c:tx>
          <c:spPr>
            <a:solidFill>
              <a:schemeClr val="tx2">
                <a:lumMod val="75000"/>
              </a:schemeClr>
            </a:solidFill>
            <a:ln>
              <a:noFill/>
            </a:ln>
            <a:effectLst/>
          </c:spPr>
          <c:invertIfNegative val="0"/>
          <c:cat>
            <c:strRef>
              <c:f>'Graphs - Total No Storms'!$B$19:$E$19</c:f>
              <c:strCache>
                <c:ptCount val="4"/>
                <c:pt idx="0">
                  <c:v>1979-1988</c:v>
                </c:pt>
                <c:pt idx="1">
                  <c:v>1989-1998</c:v>
                </c:pt>
                <c:pt idx="2">
                  <c:v>1999-2008</c:v>
                </c:pt>
                <c:pt idx="3">
                  <c:v>2009-2021</c:v>
                </c:pt>
              </c:strCache>
            </c:strRef>
          </c:cat>
          <c:val>
            <c:numRef>
              <c:f>'Graphs - Total No Storms'!$B$26:$E$26</c:f>
              <c:numCache>
                <c:formatCode>#,##0</c:formatCode>
                <c:ptCount val="4"/>
                <c:pt idx="0">
                  <c:v>326</c:v>
                </c:pt>
                <c:pt idx="1">
                  <c:v>333</c:v>
                </c:pt>
                <c:pt idx="2">
                  <c:v>297</c:v>
                </c:pt>
                <c:pt idx="3">
                  <c:v>350</c:v>
                </c:pt>
              </c:numCache>
            </c:numRef>
          </c:val>
          <c:extLst>
            <c:ext xmlns:c16="http://schemas.microsoft.com/office/drawing/2014/chart" uri="{C3380CC4-5D6E-409C-BE32-E72D297353CC}">
              <c16:uniqueId val="{00000006-15BA-424C-82EA-BFCE8BEC07EC}"/>
            </c:ext>
          </c:extLst>
        </c:ser>
        <c:ser>
          <c:idx val="6"/>
          <c:order val="6"/>
          <c:tx>
            <c:strRef>
              <c:f>'Graphs - Total No Storms'!$A$27</c:f>
              <c:strCache>
                <c:ptCount val="1"/>
                <c:pt idx="0">
                  <c:v>Iberian Peninsula</c:v>
                </c:pt>
              </c:strCache>
            </c:strRef>
          </c:tx>
          <c:spPr>
            <a:solidFill>
              <a:schemeClr val="accent2">
                <a:lumMod val="50000"/>
              </a:schemeClr>
            </a:solidFill>
            <a:ln>
              <a:noFill/>
            </a:ln>
            <a:effectLst/>
          </c:spPr>
          <c:invertIfNegative val="0"/>
          <c:cat>
            <c:strRef>
              <c:f>'Graphs - Total No Storms'!$B$19:$E$19</c:f>
              <c:strCache>
                <c:ptCount val="4"/>
                <c:pt idx="0">
                  <c:v>1979-1988</c:v>
                </c:pt>
                <c:pt idx="1">
                  <c:v>1989-1998</c:v>
                </c:pt>
                <c:pt idx="2">
                  <c:v>1999-2008</c:v>
                </c:pt>
                <c:pt idx="3">
                  <c:v>2009-2021</c:v>
                </c:pt>
              </c:strCache>
            </c:strRef>
          </c:cat>
          <c:val>
            <c:numRef>
              <c:f>'Graphs - Total No Storms'!$B$27:$E$27</c:f>
              <c:numCache>
                <c:formatCode>#,##0</c:formatCode>
                <c:ptCount val="4"/>
                <c:pt idx="0">
                  <c:v>54</c:v>
                </c:pt>
                <c:pt idx="1">
                  <c:v>57</c:v>
                </c:pt>
                <c:pt idx="2">
                  <c:v>61</c:v>
                </c:pt>
                <c:pt idx="3">
                  <c:v>78</c:v>
                </c:pt>
              </c:numCache>
            </c:numRef>
          </c:val>
          <c:extLst>
            <c:ext xmlns:c16="http://schemas.microsoft.com/office/drawing/2014/chart" uri="{C3380CC4-5D6E-409C-BE32-E72D297353CC}">
              <c16:uniqueId val="{00000007-15BA-424C-82EA-BFCE8BEC07EC}"/>
            </c:ext>
          </c:extLst>
        </c:ser>
        <c:dLbls>
          <c:showLegendKey val="0"/>
          <c:showVal val="0"/>
          <c:showCatName val="0"/>
          <c:showSerName val="0"/>
          <c:showPercent val="0"/>
          <c:showBubbleSize val="0"/>
        </c:dLbls>
        <c:gapWidth val="150"/>
        <c:axId val="40652800"/>
        <c:axId val="40654336"/>
      </c:barChart>
      <c:lineChart>
        <c:grouping val="standard"/>
        <c:varyColors val="0"/>
        <c:ser>
          <c:idx val="7"/>
          <c:order val="7"/>
          <c:tx>
            <c:strRef>
              <c:f>'Graphs - Total No Storms'!$A$20</c:f>
              <c:strCache>
                <c:ptCount val="1"/>
                <c:pt idx="0">
                  <c:v>Europe (XWS Domain)</c:v>
                </c:pt>
              </c:strCache>
            </c:strRef>
          </c:tx>
          <c:spPr>
            <a:ln w="28575" cap="rnd">
              <a:solidFill>
                <a:schemeClr val="accent1">
                  <a:lumMod val="75000"/>
                </a:schemeClr>
              </a:solidFill>
              <a:round/>
            </a:ln>
            <a:effectLst/>
          </c:spPr>
          <c:marker>
            <c:symbol val="none"/>
          </c:marker>
          <c:val>
            <c:numRef>
              <c:f>'Graphs - Total No Storms'!$B$20:$E$20</c:f>
              <c:numCache>
                <c:formatCode>#,##0</c:formatCode>
                <c:ptCount val="4"/>
                <c:pt idx="0">
                  <c:v>588</c:v>
                </c:pt>
                <c:pt idx="1">
                  <c:v>593</c:v>
                </c:pt>
                <c:pt idx="2">
                  <c:v>549</c:v>
                </c:pt>
                <c:pt idx="3">
                  <c:v>649</c:v>
                </c:pt>
              </c:numCache>
            </c:numRef>
          </c:val>
          <c:smooth val="0"/>
          <c:extLst>
            <c:ext xmlns:c16="http://schemas.microsoft.com/office/drawing/2014/chart" uri="{C3380CC4-5D6E-409C-BE32-E72D297353CC}">
              <c16:uniqueId val="{00000008-15BA-424C-82EA-BFCE8BEC07EC}"/>
            </c:ext>
          </c:extLst>
        </c:ser>
        <c:dLbls>
          <c:showLegendKey val="0"/>
          <c:showVal val="0"/>
          <c:showCatName val="0"/>
          <c:showSerName val="0"/>
          <c:showPercent val="0"/>
          <c:showBubbleSize val="0"/>
        </c:dLbls>
        <c:marker val="1"/>
        <c:smooth val="0"/>
        <c:axId val="679045744"/>
        <c:axId val="679038200"/>
      </c:lineChart>
      <c:catAx>
        <c:axId val="406528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4336"/>
        <c:crosses val="autoZero"/>
        <c:auto val="1"/>
        <c:lblAlgn val="ctr"/>
        <c:lblOffset val="100"/>
        <c:noMultiLvlLbl val="0"/>
      </c:catAx>
      <c:valAx>
        <c:axId val="40654336"/>
        <c:scaling>
          <c:orientation val="minMax"/>
          <c:max val="14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ETCs per country / region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2800"/>
        <c:crosses val="autoZero"/>
        <c:crossBetween val="between"/>
      </c:valAx>
      <c:valAx>
        <c:axId val="679038200"/>
        <c:scaling>
          <c:orientation val="minMax"/>
          <c:max val="1400"/>
          <c:min val="0"/>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045744"/>
        <c:crosses val="max"/>
        <c:crossBetween val="between"/>
      </c:valAx>
      <c:catAx>
        <c:axId val="679045744"/>
        <c:scaling>
          <c:orientation val="minMax"/>
        </c:scaling>
        <c:delete val="1"/>
        <c:axPos val="b"/>
        <c:majorTickMark val="none"/>
        <c:minorTickMark val="none"/>
        <c:tickLblPos val="nextTo"/>
        <c:crossAx val="67903820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Total number of extreme windstorms (ERA5), u10m land only wind speed &gt; 15.6 m/s </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'Graphs - Total No Extr. Storms'!$A$10</c:f>
              <c:strCache>
                <c:ptCount val="1"/>
                <c:pt idx="0">
                  <c:v>UK</c:v>
                </c:pt>
              </c:strCache>
            </c:strRef>
          </c:tx>
          <c:spPr>
            <a:solidFill>
              <a:schemeClr val="accent2"/>
            </a:solidFill>
            <a:ln>
              <a:noFill/>
            </a:ln>
            <a:effectLst/>
          </c:spPr>
          <c:invertIfNegative val="0"/>
          <c:cat>
            <c:strRef>
              <c:f>'Graphs - Total No Extr. Storms'!$B$8:$E$8</c:f>
              <c:strCache>
                <c:ptCount val="4"/>
                <c:pt idx="0">
                  <c:v>1979-1988</c:v>
                </c:pt>
                <c:pt idx="1">
                  <c:v>1989-1998</c:v>
                </c:pt>
                <c:pt idx="2">
                  <c:v>1999-2008</c:v>
                </c:pt>
                <c:pt idx="3">
                  <c:v>2009-2021</c:v>
                </c:pt>
              </c:strCache>
            </c:strRef>
          </c:cat>
          <c:val>
            <c:numRef>
              <c:f>'Graphs - Total No Extr. Storms'!$B$10:$E$10</c:f>
              <c:numCache>
                <c:formatCode>#,##0</c:formatCode>
                <c:ptCount val="4"/>
                <c:pt idx="0">
                  <c:v>54</c:v>
                </c:pt>
                <c:pt idx="1">
                  <c:v>39</c:v>
                </c:pt>
                <c:pt idx="2">
                  <c:v>52</c:v>
                </c:pt>
                <c:pt idx="3">
                  <c:v>62</c:v>
                </c:pt>
              </c:numCache>
            </c:numRef>
          </c:val>
          <c:extLst>
            <c:ext xmlns:c16="http://schemas.microsoft.com/office/drawing/2014/chart" uri="{C3380CC4-5D6E-409C-BE32-E72D297353CC}">
              <c16:uniqueId val="{00000000-B12F-4F25-9CD6-3FCEE470F3AF}"/>
            </c:ext>
          </c:extLst>
        </c:ser>
        <c:ser>
          <c:idx val="2"/>
          <c:order val="2"/>
          <c:tx>
            <c:strRef>
              <c:f>'Graphs - Total No Extr. Storms'!$A$11</c:f>
              <c:strCache>
                <c:ptCount val="1"/>
                <c:pt idx="0">
                  <c:v>France</c:v>
                </c:pt>
              </c:strCache>
            </c:strRef>
          </c:tx>
          <c:spPr>
            <a:solidFill>
              <a:schemeClr val="accent3"/>
            </a:solidFill>
            <a:ln>
              <a:noFill/>
            </a:ln>
            <a:effectLst/>
          </c:spPr>
          <c:invertIfNegative val="0"/>
          <c:cat>
            <c:strRef>
              <c:f>'Graphs - Total No Extr. Storms'!$B$8:$E$8</c:f>
              <c:strCache>
                <c:ptCount val="4"/>
                <c:pt idx="0">
                  <c:v>1979-1988</c:v>
                </c:pt>
                <c:pt idx="1">
                  <c:v>1989-1998</c:v>
                </c:pt>
                <c:pt idx="2">
                  <c:v>1999-2008</c:v>
                </c:pt>
                <c:pt idx="3">
                  <c:v>2009-2021</c:v>
                </c:pt>
              </c:strCache>
            </c:strRef>
          </c:cat>
          <c:val>
            <c:numRef>
              <c:f>'Graphs - Total No Extr. Storms'!$B$11:$E$11</c:f>
              <c:numCache>
                <c:formatCode>#,##0</c:formatCode>
                <c:ptCount val="4"/>
                <c:pt idx="0">
                  <c:v>62</c:v>
                </c:pt>
                <c:pt idx="1">
                  <c:v>46</c:v>
                </c:pt>
                <c:pt idx="2">
                  <c:v>42</c:v>
                </c:pt>
                <c:pt idx="3">
                  <c:v>60</c:v>
                </c:pt>
              </c:numCache>
            </c:numRef>
          </c:val>
          <c:extLst>
            <c:ext xmlns:c16="http://schemas.microsoft.com/office/drawing/2014/chart" uri="{C3380CC4-5D6E-409C-BE32-E72D297353CC}">
              <c16:uniqueId val="{00000001-B12F-4F25-9CD6-3FCEE470F3AF}"/>
            </c:ext>
          </c:extLst>
        </c:ser>
        <c:ser>
          <c:idx val="3"/>
          <c:order val="3"/>
          <c:tx>
            <c:strRef>
              <c:f>'Graphs - Total No Extr. Storms'!$A$12</c:f>
              <c:strCache>
                <c:ptCount val="1"/>
                <c:pt idx="0">
                  <c:v>Germany</c:v>
                </c:pt>
              </c:strCache>
            </c:strRef>
          </c:tx>
          <c:spPr>
            <a:solidFill>
              <a:schemeClr val="accent4"/>
            </a:solidFill>
            <a:ln>
              <a:noFill/>
            </a:ln>
            <a:effectLst/>
          </c:spPr>
          <c:invertIfNegative val="0"/>
          <c:cat>
            <c:strRef>
              <c:f>'Graphs - Total No Extr. Storms'!$B$8:$E$8</c:f>
              <c:strCache>
                <c:ptCount val="4"/>
                <c:pt idx="0">
                  <c:v>1979-1988</c:v>
                </c:pt>
                <c:pt idx="1">
                  <c:v>1989-1998</c:v>
                </c:pt>
                <c:pt idx="2">
                  <c:v>1999-2008</c:v>
                </c:pt>
                <c:pt idx="3">
                  <c:v>2009-2021</c:v>
                </c:pt>
              </c:strCache>
            </c:strRef>
          </c:cat>
          <c:val>
            <c:numRef>
              <c:f>'Graphs - Total No Extr. Storms'!$B$12:$E$12</c:f>
              <c:numCache>
                <c:formatCode>#,##0</c:formatCode>
                <c:ptCount val="4"/>
                <c:pt idx="0">
                  <c:v>24</c:v>
                </c:pt>
                <c:pt idx="1">
                  <c:v>31</c:v>
                </c:pt>
                <c:pt idx="2">
                  <c:v>28</c:v>
                </c:pt>
                <c:pt idx="3">
                  <c:v>30</c:v>
                </c:pt>
              </c:numCache>
            </c:numRef>
          </c:val>
          <c:extLst>
            <c:ext xmlns:c16="http://schemas.microsoft.com/office/drawing/2014/chart" uri="{C3380CC4-5D6E-409C-BE32-E72D297353CC}">
              <c16:uniqueId val="{00000002-B12F-4F25-9CD6-3FCEE470F3AF}"/>
            </c:ext>
          </c:extLst>
        </c:ser>
        <c:ser>
          <c:idx val="4"/>
          <c:order val="4"/>
          <c:tx>
            <c:strRef>
              <c:f>'Graphs - Total No Extr. Storms'!$A$13</c:f>
              <c:strCache>
                <c:ptCount val="1"/>
                <c:pt idx="0">
                  <c:v>BeNeLux</c:v>
                </c:pt>
              </c:strCache>
            </c:strRef>
          </c:tx>
          <c:spPr>
            <a:solidFill>
              <a:schemeClr val="accent5"/>
            </a:solidFill>
            <a:ln>
              <a:noFill/>
            </a:ln>
            <a:effectLst/>
          </c:spPr>
          <c:invertIfNegative val="0"/>
          <c:cat>
            <c:strRef>
              <c:f>'Graphs - Total No Extr. Storms'!$B$8:$E$8</c:f>
              <c:strCache>
                <c:ptCount val="4"/>
                <c:pt idx="0">
                  <c:v>1979-1988</c:v>
                </c:pt>
                <c:pt idx="1">
                  <c:v>1989-1998</c:v>
                </c:pt>
                <c:pt idx="2">
                  <c:v>1999-2008</c:v>
                </c:pt>
                <c:pt idx="3">
                  <c:v>2009-2021</c:v>
                </c:pt>
              </c:strCache>
            </c:strRef>
          </c:cat>
          <c:val>
            <c:numRef>
              <c:f>'Graphs - Total No Extr. Storms'!$B$13:$E$13</c:f>
              <c:numCache>
                <c:formatCode>#,##0</c:formatCode>
                <c:ptCount val="4"/>
                <c:pt idx="0">
                  <c:v>30</c:v>
                </c:pt>
                <c:pt idx="1">
                  <c:v>33</c:v>
                </c:pt>
                <c:pt idx="2">
                  <c:v>19</c:v>
                </c:pt>
                <c:pt idx="3">
                  <c:v>23</c:v>
                </c:pt>
              </c:numCache>
            </c:numRef>
          </c:val>
          <c:extLst>
            <c:ext xmlns:c16="http://schemas.microsoft.com/office/drawing/2014/chart" uri="{C3380CC4-5D6E-409C-BE32-E72D297353CC}">
              <c16:uniqueId val="{00000003-B12F-4F25-9CD6-3FCEE470F3AF}"/>
            </c:ext>
          </c:extLst>
        </c:ser>
        <c:ser>
          <c:idx val="5"/>
          <c:order val="5"/>
          <c:tx>
            <c:strRef>
              <c:f>'Graphs - Total No Extr. Storms'!$A$14</c:f>
              <c:strCache>
                <c:ptCount val="1"/>
                <c:pt idx="0">
                  <c:v>BeNeLuxMark</c:v>
                </c:pt>
              </c:strCache>
            </c:strRef>
          </c:tx>
          <c:spPr>
            <a:solidFill>
              <a:schemeClr val="accent6"/>
            </a:solidFill>
            <a:ln>
              <a:noFill/>
            </a:ln>
            <a:effectLst/>
          </c:spPr>
          <c:invertIfNegative val="0"/>
          <c:cat>
            <c:strRef>
              <c:f>'Graphs - Total No Extr. Storms'!$B$8:$E$8</c:f>
              <c:strCache>
                <c:ptCount val="4"/>
                <c:pt idx="0">
                  <c:v>1979-1988</c:v>
                </c:pt>
                <c:pt idx="1">
                  <c:v>1989-1998</c:v>
                </c:pt>
                <c:pt idx="2">
                  <c:v>1999-2008</c:v>
                </c:pt>
                <c:pt idx="3">
                  <c:v>2009-2021</c:v>
                </c:pt>
              </c:strCache>
            </c:strRef>
          </c:cat>
          <c:val>
            <c:numRef>
              <c:f>'Graphs - Total No Extr. Storms'!$B$14:$E$14</c:f>
              <c:numCache>
                <c:formatCode>#,##0</c:formatCode>
                <c:ptCount val="4"/>
                <c:pt idx="0">
                  <c:v>48</c:v>
                </c:pt>
                <c:pt idx="1">
                  <c:v>65</c:v>
                </c:pt>
                <c:pt idx="2">
                  <c:v>40</c:v>
                </c:pt>
                <c:pt idx="3">
                  <c:v>45</c:v>
                </c:pt>
              </c:numCache>
            </c:numRef>
          </c:val>
          <c:extLst>
            <c:ext xmlns:c16="http://schemas.microsoft.com/office/drawing/2014/chart" uri="{C3380CC4-5D6E-409C-BE32-E72D297353CC}">
              <c16:uniqueId val="{00000004-B12F-4F25-9CD6-3FCEE470F3AF}"/>
            </c:ext>
          </c:extLst>
        </c:ser>
        <c:ser>
          <c:idx val="6"/>
          <c:order val="6"/>
          <c:tx>
            <c:strRef>
              <c:f>'Graphs - Total No Extr. Storms'!$A$15</c:f>
              <c:strCache>
                <c:ptCount val="1"/>
                <c:pt idx="0">
                  <c:v>Scandinavia</c:v>
                </c:pt>
              </c:strCache>
            </c:strRef>
          </c:tx>
          <c:spPr>
            <a:solidFill>
              <a:schemeClr val="accent1">
                <a:lumMod val="60000"/>
              </a:schemeClr>
            </a:solidFill>
            <a:ln>
              <a:noFill/>
            </a:ln>
            <a:effectLst/>
          </c:spPr>
          <c:invertIfNegative val="0"/>
          <c:cat>
            <c:strRef>
              <c:f>'Graphs - Total No Extr. Storms'!$B$8:$E$8</c:f>
              <c:strCache>
                <c:ptCount val="4"/>
                <c:pt idx="0">
                  <c:v>1979-1988</c:v>
                </c:pt>
                <c:pt idx="1">
                  <c:v>1989-1998</c:v>
                </c:pt>
                <c:pt idx="2">
                  <c:v>1999-2008</c:v>
                </c:pt>
                <c:pt idx="3">
                  <c:v>2009-2021</c:v>
                </c:pt>
              </c:strCache>
            </c:strRef>
          </c:cat>
          <c:val>
            <c:numRef>
              <c:f>'Graphs - Total No Extr. Storms'!$B$15:$E$15</c:f>
              <c:numCache>
                <c:formatCode>#,##0</c:formatCode>
                <c:ptCount val="4"/>
                <c:pt idx="0">
                  <c:v>161</c:v>
                </c:pt>
                <c:pt idx="1">
                  <c:v>149</c:v>
                </c:pt>
                <c:pt idx="2">
                  <c:v>142</c:v>
                </c:pt>
                <c:pt idx="3">
                  <c:v>153</c:v>
                </c:pt>
              </c:numCache>
            </c:numRef>
          </c:val>
          <c:extLst>
            <c:ext xmlns:c16="http://schemas.microsoft.com/office/drawing/2014/chart" uri="{C3380CC4-5D6E-409C-BE32-E72D297353CC}">
              <c16:uniqueId val="{00000005-B12F-4F25-9CD6-3FCEE470F3AF}"/>
            </c:ext>
          </c:extLst>
        </c:ser>
        <c:ser>
          <c:idx val="7"/>
          <c:order val="7"/>
          <c:tx>
            <c:strRef>
              <c:f>'Graphs - Total No Extr. Storms'!$A$16</c:f>
              <c:strCache>
                <c:ptCount val="1"/>
                <c:pt idx="0">
                  <c:v>Iberian Peninsula</c:v>
                </c:pt>
              </c:strCache>
            </c:strRef>
          </c:tx>
          <c:spPr>
            <a:solidFill>
              <a:schemeClr val="accent2">
                <a:lumMod val="60000"/>
              </a:schemeClr>
            </a:solidFill>
            <a:ln>
              <a:noFill/>
            </a:ln>
            <a:effectLst/>
          </c:spPr>
          <c:invertIfNegative val="0"/>
          <c:cat>
            <c:strRef>
              <c:f>'Graphs - Total No Extr. Storms'!$B$8:$E$8</c:f>
              <c:strCache>
                <c:ptCount val="4"/>
                <c:pt idx="0">
                  <c:v>1979-1988</c:v>
                </c:pt>
                <c:pt idx="1">
                  <c:v>1989-1998</c:v>
                </c:pt>
                <c:pt idx="2">
                  <c:v>1999-2008</c:v>
                </c:pt>
                <c:pt idx="3">
                  <c:v>2009-2021</c:v>
                </c:pt>
              </c:strCache>
            </c:strRef>
          </c:cat>
          <c:val>
            <c:numRef>
              <c:f>'Graphs - Total No Extr. Storms'!$B$16:$E$16</c:f>
              <c:numCache>
                <c:formatCode>#,##0</c:formatCode>
                <c:ptCount val="4"/>
                <c:pt idx="0">
                  <c:v>26</c:v>
                </c:pt>
                <c:pt idx="1">
                  <c:v>29</c:v>
                </c:pt>
                <c:pt idx="2">
                  <c:v>29</c:v>
                </c:pt>
                <c:pt idx="3">
                  <c:v>39</c:v>
                </c:pt>
              </c:numCache>
            </c:numRef>
          </c:val>
          <c:extLst>
            <c:ext xmlns:c16="http://schemas.microsoft.com/office/drawing/2014/chart" uri="{C3380CC4-5D6E-409C-BE32-E72D297353CC}">
              <c16:uniqueId val="{00000006-B12F-4F25-9CD6-3FCEE470F3AF}"/>
            </c:ext>
          </c:extLst>
        </c:ser>
        <c:dLbls>
          <c:showLegendKey val="0"/>
          <c:showVal val="0"/>
          <c:showCatName val="0"/>
          <c:showSerName val="0"/>
          <c:showPercent val="0"/>
          <c:showBubbleSize val="0"/>
        </c:dLbls>
        <c:gapWidth val="247"/>
        <c:axId val="40652800"/>
        <c:axId val="40654336"/>
      </c:barChart>
      <c:lineChart>
        <c:grouping val="standard"/>
        <c:varyColors val="0"/>
        <c:ser>
          <c:idx val="0"/>
          <c:order val="0"/>
          <c:tx>
            <c:strRef>
              <c:f>'Graphs - Total No Extr. Storms'!$A$9</c:f>
              <c:strCache>
                <c:ptCount val="1"/>
                <c:pt idx="0">
                  <c:v>Europe (XWS Domain)</c:v>
                </c:pt>
              </c:strCache>
            </c:strRef>
          </c:tx>
          <c:spPr>
            <a:ln w="28575" cap="rnd">
              <a:solidFill>
                <a:schemeClr val="accent1"/>
              </a:solidFill>
              <a:round/>
            </a:ln>
            <a:effectLst/>
          </c:spPr>
          <c:marker>
            <c:symbol val="none"/>
          </c:marker>
          <c:cat>
            <c:strRef>
              <c:f>'Graphs - Total No Extr. Storms'!$B$8:$E$8</c:f>
              <c:strCache>
                <c:ptCount val="4"/>
                <c:pt idx="0">
                  <c:v>1979-1988</c:v>
                </c:pt>
                <c:pt idx="1">
                  <c:v>1989-1998</c:v>
                </c:pt>
                <c:pt idx="2">
                  <c:v>1999-2008</c:v>
                </c:pt>
                <c:pt idx="3">
                  <c:v>2009-2021</c:v>
                </c:pt>
              </c:strCache>
            </c:strRef>
          </c:cat>
          <c:val>
            <c:numRef>
              <c:f>'Graphs - Total No Extr. Storms'!$B$9:$E$9</c:f>
              <c:numCache>
                <c:formatCode>#,##0</c:formatCode>
                <c:ptCount val="4"/>
                <c:pt idx="0">
                  <c:v>333</c:v>
                </c:pt>
                <c:pt idx="1">
                  <c:v>315</c:v>
                </c:pt>
                <c:pt idx="2">
                  <c:v>297</c:v>
                </c:pt>
                <c:pt idx="3">
                  <c:v>347</c:v>
                </c:pt>
              </c:numCache>
            </c:numRef>
          </c:val>
          <c:smooth val="0"/>
          <c:extLst>
            <c:ext xmlns:c16="http://schemas.microsoft.com/office/drawing/2014/chart" uri="{C3380CC4-5D6E-409C-BE32-E72D297353CC}">
              <c16:uniqueId val="{00000007-B12F-4F25-9CD6-3FCEE470F3AF}"/>
            </c:ext>
          </c:extLst>
        </c:ser>
        <c:dLbls>
          <c:showLegendKey val="0"/>
          <c:showVal val="0"/>
          <c:showCatName val="0"/>
          <c:showSerName val="0"/>
          <c:showPercent val="0"/>
          <c:showBubbleSize val="0"/>
        </c:dLbls>
        <c:marker val="1"/>
        <c:smooth val="0"/>
        <c:axId val="828436792"/>
        <c:axId val="828435480"/>
      </c:lineChart>
      <c:catAx>
        <c:axId val="406528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4336"/>
        <c:crosses val="autoZero"/>
        <c:auto val="1"/>
        <c:lblAlgn val="ctr"/>
        <c:lblOffset val="100"/>
        <c:noMultiLvlLbl val="0"/>
      </c:catAx>
      <c:valAx>
        <c:axId val="40654336"/>
        <c:scaling>
          <c:orientation val="minMax"/>
          <c:max val="3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ETCs per country / region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2800"/>
        <c:crosses val="autoZero"/>
        <c:crossBetween val="between"/>
      </c:valAx>
      <c:valAx>
        <c:axId val="828435480"/>
        <c:scaling>
          <c:orientation val="minMax"/>
          <c:max val="350"/>
          <c:min val="0"/>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36792"/>
        <c:crosses val="max"/>
        <c:crossBetween val="between"/>
      </c:valAx>
      <c:catAx>
        <c:axId val="828436792"/>
        <c:scaling>
          <c:orientation val="minMax"/>
        </c:scaling>
        <c:delete val="1"/>
        <c:axPos val="b"/>
        <c:numFmt formatCode="General" sourceLinked="1"/>
        <c:majorTickMark val="none"/>
        <c:minorTickMark val="none"/>
        <c:tickLblPos val="nextTo"/>
        <c:crossAx val="82843548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Total number of extreme windstorms (ERA5), u10m land only wind speed &gt; 20.0 m/s</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'Graphs - Total No Extr. Storms'!$H$10</c:f>
              <c:strCache>
                <c:ptCount val="1"/>
                <c:pt idx="0">
                  <c:v>UK</c:v>
                </c:pt>
              </c:strCache>
            </c:strRef>
          </c:tx>
          <c:spPr>
            <a:solidFill>
              <a:schemeClr val="accent2"/>
            </a:solidFill>
            <a:ln>
              <a:noFill/>
            </a:ln>
            <a:effectLst/>
          </c:spPr>
          <c:invertIfNegative val="0"/>
          <c:cat>
            <c:strRef>
              <c:f>'Graphs - Total No Extr. Storms'!$I$8:$L$8</c:f>
              <c:strCache>
                <c:ptCount val="4"/>
                <c:pt idx="0">
                  <c:v>1979-1988</c:v>
                </c:pt>
                <c:pt idx="1">
                  <c:v>1989-1998</c:v>
                </c:pt>
                <c:pt idx="2">
                  <c:v>1999-2008</c:v>
                </c:pt>
                <c:pt idx="3">
                  <c:v>2009-2021</c:v>
                </c:pt>
              </c:strCache>
            </c:strRef>
          </c:cat>
          <c:val>
            <c:numRef>
              <c:f>'Graphs - Total No Extr. Storms'!$I$10:$L$10</c:f>
              <c:numCache>
                <c:formatCode>#,##0</c:formatCode>
                <c:ptCount val="4"/>
                <c:pt idx="0">
                  <c:v>21</c:v>
                </c:pt>
                <c:pt idx="1">
                  <c:v>12</c:v>
                </c:pt>
                <c:pt idx="2">
                  <c:v>22</c:v>
                </c:pt>
                <c:pt idx="3">
                  <c:v>26</c:v>
                </c:pt>
              </c:numCache>
            </c:numRef>
          </c:val>
          <c:extLst>
            <c:ext xmlns:c16="http://schemas.microsoft.com/office/drawing/2014/chart" uri="{C3380CC4-5D6E-409C-BE32-E72D297353CC}">
              <c16:uniqueId val="{00000000-7832-41E9-B370-7CCC45AB877D}"/>
            </c:ext>
          </c:extLst>
        </c:ser>
        <c:ser>
          <c:idx val="2"/>
          <c:order val="2"/>
          <c:tx>
            <c:strRef>
              <c:f>'Graphs - Total No Extr. Storms'!$H$11</c:f>
              <c:strCache>
                <c:ptCount val="1"/>
                <c:pt idx="0">
                  <c:v>France</c:v>
                </c:pt>
              </c:strCache>
            </c:strRef>
          </c:tx>
          <c:spPr>
            <a:solidFill>
              <a:schemeClr val="accent3"/>
            </a:solidFill>
            <a:ln>
              <a:noFill/>
            </a:ln>
            <a:effectLst/>
          </c:spPr>
          <c:invertIfNegative val="0"/>
          <c:cat>
            <c:strRef>
              <c:f>'Graphs - Total No Extr. Storms'!$I$8:$L$8</c:f>
              <c:strCache>
                <c:ptCount val="4"/>
                <c:pt idx="0">
                  <c:v>1979-1988</c:v>
                </c:pt>
                <c:pt idx="1">
                  <c:v>1989-1998</c:v>
                </c:pt>
                <c:pt idx="2">
                  <c:v>1999-2008</c:v>
                </c:pt>
                <c:pt idx="3">
                  <c:v>2009-2021</c:v>
                </c:pt>
              </c:strCache>
            </c:strRef>
          </c:cat>
          <c:val>
            <c:numRef>
              <c:f>'Graphs - Total No Extr. Storms'!$I$11:$L$11</c:f>
              <c:numCache>
                <c:formatCode>#,##0</c:formatCode>
                <c:ptCount val="4"/>
                <c:pt idx="0">
                  <c:v>20</c:v>
                </c:pt>
                <c:pt idx="1">
                  <c:v>11</c:v>
                </c:pt>
                <c:pt idx="2">
                  <c:v>11</c:v>
                </c:pt>
                <c:pt idx="3">
                  <c:v>14</c:v>
                </c:pt>
              </c:numCache>
            </c:numRef>
          </c:val>
          <c:extLst>
            <c:ext xmlns:c16="http://schemas.microsoft.com/office/drawing/2014/chart" uri="{C3380CC4-5D6E-409C-BE32-E72D297353CC}">
              <c16:uniqueId val="{00000001-7832-41E9-B370-7CCC45AB877D}"/>
            </c:ext>
          </c:extLst>
        </c:ser>
        <c:ser>
          <c:idx val="3"/>
          <c:order val="3"/>
          <c:tx>
            <c:strRef>
              <c:f>'Graphs - Total No Extr. Storms'!$H$12</c:f>
              <c:strCache>
                <c:ptCount val="1"/>
                <c:pt idx="0">
                  <c:v>Germany</c:v>
                </c:pt>
              </c:strCache>
            </c:strRef>
          </c:tx>
          <c:spPr>
            <a:solidFill>
              <a:schemeClr val="accent4"/>
            </a:solidFill>
            <a:ln>
              <a:noFill/>
            </a:ln>
            <a:effectLst/>
          </c:spPr>
          <c:invertIfNegative val="0"/>
          <c:cat>
            <c:strRef>
              <c:f>'Graphs - Total No Extr. Storms'!$I$8:$L$8</c:f>
              <c:strCache>
                <c:ptCount val="4"/>
                <c:pt idx="0">
                  <c:v>1979-1988</c:v>
                </c:pt>
                <c:pt idx="1">
                  <c:v>1989-1998</c:v>
                </c:pt>
                <c:pt idx="2">
                  <c:v>1999-2008</c:v>
                </c:pt>
                <c:pt idx="3">
                  <c:v>2009-2021</c:v>
                </c:pt>
              </c:strCache>
            </c:strRef>
          </c:cat>
          <c:val>
            <c:numRef>
              <c:f>'Graphs - Total No Extr. Storms'!$I$12:$L$12</c:f>
              <c:numCache>
                <c:formatCode>#,##0</c:formatCode>
                <c:ptCount val="4"/>
                <c:pt idx="0">
                  <c:v>7</c:v>
                </c:pt>
                <c:pt idx="1">
                  <c:v>8</c:v>
                </c:pt>
                <c:pt idx="2">
                  <c:v>5</c:v>
                </c:pt>
                <c:pt idx="3">
                  <c:v>7</c:v>
                </c:pt>
              </c:numCache>
            </c:numRef>
          </c:val>
          <c:extLst>
            <c:ext xmlns:c16="http://schemas.microsoft.com/office/drawing/2014/chart" uri="{C3380CC4-5D6E-409C-BE32-E72D297353CC}">
              <c16:uniqueId val="{00000002-7832-41E9-B370-7CCC45AB877D}"/>
            </c:ext>
          </c:extLst>
        </c:ser>
        <c:ser>
          <c:idx val="4"/>
          <c:order val="4"/>
          <c:tx>
            <c:strRef>
              <c:f>'Graphs - Total No Extr. Storms'!$H$13</c:f>
              <c:strCache>
                <c:ptCount val="1"/>
                <c:pt idx="0">
                  <c:v>BeNeLux</c:v>
                </c:pt>
              </c:strCache>
            </c:strRef>
          </c:tx>
          <c:spPr>
            <a:solidFill>
              <a:schemeClr val="accent5"/>
            </a:solidFill>
            <a:ln>
              <a:noFill/>
            </a:ln>
            <a:effectLst/>
          </c:spPr>
          <c:invertIfNegative val="0"/>
          <c:cat>
            <c:strRef>
              <c:f>'Graphs - Total No Extr. Storms'!$I$8:$L$8</c:f>
              <c:strCache>
                <c:ptCount val="4"/>
                <c:pt idx="0">
                  <c:v>1979-1988</c:v>
                </c:pt>
                <c:pt idx="1">
                  <c:v>1989-1998</c:v>
                </c:pt>
                <c:pt idx="2">
                  <c:v>1999-2008</c:v>
                </c:pt>
                <c:pt idx="3">
                  <c:v>2009-2021</c:v>
                </c:pt>
              </c:strCache>
            </c:strRef>
          </c:cat>
          <c:val>
            <c:numRef>
              <c:f>'Graphs - Total No Extr. Storms'!$I$13:$L$13</c:f>
              <c:numCache>
                <c:formatCode>#,##0</c:formatCode>
                <c:ptCount val="4"/>
                <c:pt idx="0">
                  <c:v>14</c:v>
                </c:pt>
                <c:pt idx="1">
                  <c:v>10</c:v>
                </c:pt>
                <c:pt idx="2">
                  <c:v>7</c:v>
                </c:pt>
                <c:pt idx="3">
                  <c:v>7</c:v>
                </c:pt>
              </c:numCache>
            </c:numRef>
          </c:val>
          <c:extLst>
            <c:ext xmlns:c16="http://schemas.microsoft.com/office/drawing/2014/chart" uri="{C3380CC4-5D6E-409C-BE32-E72D297353CC}">
              <c16:uniqueId val="{00000003-7832-41E9-B370-7CCC45AB877D}"/>
            </c:ext>
          </c:extLst>
        </c:ser>
        <c:ser>
          <c:idx val="5"/>
          <c:order val="5"/>
          <c:tx>
            <c:strRef>
              <c:f>'Graphs - Total No Extr. Storms'!$H$14</c:f>
              <c:strCache>
                <c:ptCount val="1"/>
                <c:pt idx="0">
                  <c:v>BeNeLuxMark</c:v>
                </c:pt>
              </c:strCache>
            </c:strRef>
          </c:tx>
          <c:spPr>
            <a:solidFill>
              <a:schemeClr val="accent6"/>
            </a:solidFill>
            <a:ln>
              <a:noFill/>
            </a:ln>
            <a:effectLst/>
          </c:spPr>
          <c:invertIfNegative val="0"/>
          <c:cat>
            <c:strRef>
              <c:f>'Graphs - Total No Extr. Storms'!$I$8:$L$8</c:f>
              <c:strCache>
                <c:ptCount val="4"/>
                <c:pt idx="0">
                  <c:v>1979-1988</c:v>
                </c:pt>
                <c:pt idx="1">
                  <c:v>1989-1998</c:v>
                </c:pt>
                <c:pt idx="2">
                  <c:v>1999-2008</c:v>
                </c:pt>
                <c:pt idx="3">
                  <c:v>2009-2021</c:v>
                </c:pt>
              </c:strCache>
            </c:strRef>
          </c:cat>
          <c:val>
            <c:numRef>
              <c:f>'Graphs - Total No Extr. Storms'!$I$14:$L$14</c:f>
              <c:numCache>
                <c:formatCode>#,##0</c:formatCode>
                <c:ptCount val="4"/>
                <c:pt idx="0">
                  <c:v>22</c:v>
                </c:pt>
                <c:pt idx="1">
                  <c:v>21</c:v>
                </c:pt>
                <c:pt idx="2">
                  <c:v>16</c:v>
                </c:pt>
                <c:pt idx="3">
                  <c:v>12</c:v>
                </c:pt>
              </c:numCache>
            </c:numRef>
          </c:val>
          <c:extLst>
            <c:ext xmlns:c16="http://schemas.microsoft.com/office/drawing/2014/chart" uri="{C3380CC4-5D6E-409C-BE32-E72D297353CC}">
              <c16:uniqueId val="{00000004-7832-41E9-B370-7CCC45AB877D}"/>
            </c:ext>
          </c:extLst>
        </c:ser>
        <c:ser>
          <c:idx val="6"/>
          <c:order val="6"/>
          <c:tx>
            <c:strRef>
              <c:f>'Graphs - Total No Extr. Storms'!$H$15</c:f>
              <c:strCache>
                <c:ptCount val="1"/>
                <c:pt idx="0">
                  <c:v>Scandinavia</c:v>
                </c:pt>
              </c:strCache>
            </c:strRef>
          </c:tx>
          <c:spPr>
            <a:solidFill>
              <a:schemeClr val="accent1">
                <a:lumMod val="60000"/>
              </a:schemeClr>
            </a:solidFill>
            <a:ln>
              <a:noFill/>
            </a:ln>
            <a:effectLst/>
          </c:spPr>
          <c:invertIfNegative val="0"/>
          <c:cat>
            <c:strRef>
              <c:f>'Graphs - Total No Extr. Storms'!$I$8:$L$8</c:f>
              <c:strCache>
                <c:ptCount val="4"/>
                <c:pt idx="0">
                  <c:v>1979-1988</c:v>
                </c:pt>
                <c:pt idx="1">
                  <c:v>1989-1998</c:v>
                </c:pt>
                <c:pt idx="2">
                  <c:v>1999-2008</c:v>
                </c:pt>
                <c:pt idx="3">
                  <c:v>2009-2021</c:v>
                </c:pt>
              </c:strCache>
            </c:strRef>
          </c:cat>
          <c:val>
            <c:numRef>
              <c:f>'Graphs - Total No Extr. Storms'!$I$15:$L$15</c:f>
              <c:numCache>
                <c:formatCode>#,##0</c:formatCode>
                <c:ptCount val="4"/>
                <c:pt idx="0">
                  <c:v>62</c:v>
                </c:pt>
                <c:pt idx="1">
                  <c:v>53</c:v>
                </c:pt>
                <c:pt idx="2">
                  <c:v>47</c:v>
                </c:pt>
                <c:pt idx="3">
                  <c:v>66</c:v>
                </c:pt>
              </c:numCache>
            </c:numRef>
          </c:val>
          <c:extLst>
            <c:ext xmlns:c16="http://schemas.microsoft.com/office/drawing/2014/chart" uri="{C3380CC4-5D6E-409C-BE32-E72D297353CC}">
              <c16:uniqueId val="{00000005-7832-41E9-B370-7CCC45AB877D}"/>
            </c:ext>
          </c:extLst>
        </c:ser>
        <c:ser>
          <c:idx val="7"/>
          <c:order val="7"/>
          <c:tx>
            <c:strRef>
              <c:f>'Graphs - Total No Extr. Storms'!$H$16</c:f>
              <c:strCache>
                <c:ptCount val="1"/>
                <c:pt idx="0">
                  <c:v>Iberian Peninsula</c:v>
                </c:pt>
              </c:strCache>
            </c:strRef>
          </c:tx>
          <c:spPr>
            <a:solidFill>
              <a:schemeClr val="accent2">
                <a:lumMod val="60000"/>
              </a:schemeClr>
            </a:solidFill>
            <a:ln>
              <a:noFill/>
            </a:ln>
            <a:effectLst/>
          </c:spPr>
          <c:invertIfNegative val="0"/>
          <c:cat>
            <c:strRef>
              <c:f>'Graphs - Total No Extr. Storms'!$I$8:$L$8</c:f>
              <c:strCache>
                <c:ptCount val="4"/>
                <c:pt idx="0">
                  <c:v>1979-1988</c:v>
                </c:pt>
                <c:pt idx="1">
                  <c:v>1989-1998</c:v>
                </c:pt>
                <c:pt idx="2">
                  <c:v>1999-2008</c:v>
                </c:pt>
                <c:pt idx="3">
                  <c:v>2009-2021</c:v>
                </c:pt>
              </c:strCache>
            </c:strRef>
          </c:cat>
          <c:val>
            <c:numRef>
              <c:f>'Graphs - Total No Extr. Storms'!$I$16:$L$16</c:f>
              <c:numCache>
                <c:formatCode>#,##0</c:formatCode>
                <c:ptCount val="4"/>
                <c:pt idx="0">
                  <c:v>7</c:v>
                </c:pt>
                <c:pt idx="1">
                  <c:v>5</c:v>
                </c:pt>
                <c:pt idx="2">
                  <c:v>7</c:v>
                </c:pt>
                <c:pt idx="3">
                  <c:v>8</c:v>
                </c:pt>
              </c:numCache>
            </c:numRef>
          </c:val>
          <c:extLst>
            <c:ext xmlns:c16="http://schemas.microsoft.com/office/drawing/2014/chart" uri="{C3380CC4-5D6E-409C-BE32-E72D297353CC}">
              <c16:uniqueId val="{00000006-7832-41E9-B370-7CCC45AB877D}"/>
            </c:ext>
          </c:extLst>
        </c:ser>
        <c:dLbls>
          <c:showLegendKey val="0"/>
          <c:showVal val="0"/>
          <c:showCatName val="0"/>
          <c:showSerName val="0"/>
          <c:showPercent val="0"/>
          <c:showBubbleSize val="0"/>
        </c:dLbls>
        <c:gapWidth val="247"/>
        <c:axId val="40652800"/>
        <c:axId val="40654336"/>
      </c:barChart>
      <c:lineChart>
        <c:grouping val="standard"/>
        <c:varyColors val="0"/>
        <c:ser>
          <c:idx val="0"/>
          <c:order val="0"/>
          <c:tx>
            <c:strRef>
              <c:f>'Graphs - Total No Extr. Storms'!$H$9</c:f>
              <c:strCache>
                <c:ptCount val="1"/>
                <c:pt idx="0">
                  <c:v>Europe (XWS Domain)</c:v>
                </c:pt>
              </c:strCache>
            </c:strRef>
          </c:tx>
          <c:spPr>
            <a:ln w="28575" cap="rnd">
              <a:solidFill>
                <a:schemeClr val="accent1"/>
              </a:solidFill>
              <a:round/>
            </a:ln>
            <a:effectLst/>
          </c:spPr>
          <c:marker>
            <c:symbol val="none"/>
          </c:marker>
          <c:cat>
            <c:strRef>
              <c:f>'Graphs - Total No Extr. Storms'!$I$8:$L$8</c:f>
              <c:strCache>
                <c:ptCount val="4"/>
                <c:pt idx="0">
                  <c:v>1979-1988</c:v>
                </c:pt>
                <c:pt idx="1">
                  <c:v>1989-1998</c:v>
                </c:pt>
                <c:pt idx="2">
                  <c:v>1999-2008</c:v>
                </c:pt>
                <c:pt idx="3">
                  <c:v>2009-2021</c:v>
                </c:pt>
              </c:strCache>
            </c:strRef>
          </c:cat>
          <c:val>
            <c:numRef>
              <c:f>'Graphs - Total No Extr. Storms'!$I$9:$L$9</c:f>
              <c:numCache>
                <c:formatCode>#,##0</c:formatCode>
                <c:ptCount val="4"/>
                <c:pt idx="0">
                  <c:v>122</c:v>
                </c:pt>
                <c:pt idx="1">
                  <c:v>101</c:v>
                </c:pt>
                <c:pt idx="2">
                  <c:v>95</c:v>
                </c:pt>
                <c:pt idx="3">
                  <c:v>120</c:v>
                </c:pt>
              </c:numCache>
            </c:numRef>
          </c:val>
          <c:smooth val="0"/>
          <c:extLst>
            <c:ext xmlns:c16="http://schemas.microsoft.com/office/drawing/2014/chart" uri="{C3380CC4-5D6E-409C-BE32-E72D297353CC}">
              <c16:uniqueId val="{00000007-7832-41E9-B370-7CCC45AB877D}"/>
            </c:ext>
          </c:extLst>
        </c:ser>
        <c:dLbls>
          <c:showLegendKey val="0"/>
          <c:showVal val="0"/>
          <c:showCatName val="0"/>
          <c:showSerName val="0"/>
          <c:showPercent val="0"/>
          <c:showBubbleSize val="0"/>
        </c:dLbls>
        <c:marker val="1"/>
        <c:smooth val="0"/>
        <c:axId val="828436792"/>
        <c:axId val="828435480"/>
      </c:lineChart>
      <c:catAx>
        <c:axId val="406528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4336"/>
        <c:crosses val="autoZero"/>
        <c:auto val="1"/>
        <c:lblAlgn val="ctr"/>
        <c:lblOffset val="100"/>
        <c:noMultiLvlLbl val="0"/>
      </c:catAx>
      <c:valAx>
        <c:axId val="40654336"/>
        <c:scaling>
          <c:orientation val="minMax"/>
          <c:max val="3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ETCs per country / region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2800"/>
        <c:crosses val="autoZero"/>
        <c:crossBetween val="between"/>
      </c:valAx>
      <c:valAx>
        <c:axId val="828435480"/>
        <c:scaling>
          <c:orientation val="minMax"/>
          <c:max val="350"/>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36792"/>
        <c:crosses val="max"/>
        <c:crossBetween val="between"/>
      </c:valAx>
      <c:catAx>
        <c:axId val="828436792"/>
        <c:scaling>
          <c:orientation val="minMax"/>
        </c:scaling>
        <c:delete val="1"/>
        <c:axPos val="b"/>
        <c:numFmt formatCode="General" sourceLinked="1"/>
        <c:majorTickMark val="none"/>
        <c:minorTickMark val="none"/>
        <c:tickLblPos val="nextTo"/>
        <c:crossAx val="82843548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Total number of extreme windstorms (ERA5), u10m land only wind speed &gt; 25.0 m/s</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'Graphs - Total No Extr. Storms'!$O$10</c:f>
              <c:strCache>
                <c:ptCount val="1"/>
                <c:pt idx="0">
                  <c:v>UK</c:v>
                </c:pt>
              </c:strCache>
            </c:strRef>
          </c:tx>
          <c:spPr>
            <a:solidFill>
              <a:schemeClr val="accent2"/>
            </a:solidFill>
            <a:ln>
              <a:noFill/>
            </a:ln>
            <a:effectLst/>
          </c:spPr>
          <c:invertIfNegative val="0"/>
          <c:cat>
            <c:strRef>
              <c:f>'Graphs - Total No Extr. Storms'!$P$8:$S$8</c:f>
              <c:strCache>
                <c:ptCount val="4"/>
                <c:pt idx="0">
                  <c:v>1979-1988</c:v>
                </c:pt>
                <c:pt idx="1">
                  <c:v>1989-1998</c:v>
                </c:pt>
                <c:pt idx="2">
                  <c:v>1999-2008</c:v>
                </c:pt>
                <c:pt idx="3">
                  <c:v>2009-2021</c:v>
                </c:pt>
              </c:strCache>
            </c:strRef>
          </c:cat>
          <c:val>
            <c:numRef>
              <c:f>'Graphs - Total No Extr. Storms'!$P$10:$S$10</c:f>
              <c:numCache>
                <c:formatCode>#,##0</c:formatCode>
                <c:ptCount val="4"/>
                <c:pt idx="0">
                  <c:v>5</c:v>
                </c:pt>
                <c:pt idx="1">
                  <c:v>2</c:v>
                </c:pt>
                <c:pt idx="2">
                  <c:v>2</c:v>
                </c:pt>
                <c:pt idx="3">
                  <c:v>3</c:v>
                </c:pt>
              </c:numCache>
            </c:numRef>
          </c:val>
          <c:extLst>
            <c:ext xmlns:c16="http://schemas.microsoft.com/office/drawing/2014/chart" uri="{C3380CC4-5D6E-409C-BE32-E72D297353CC}">
              <c16:uniqueId val="{00000000-63E7-413F-BC70-1AE231093759}"/>
            </c:ext>
          </c:extLst>
        </c:ser>
        <c:ser>
          <c:idx val="2"/>
          <c:order val="2"/>
          <c:tx>
            <c:strRef>
              <c:f>'Graphs - Total No Extr. Storms'!$O$11</c:f>
              <c:strCache>
                <c:ptCount val="1"/>
                <c:pt idx="0">
                  <c:v>France</c:v>
                </c:pt>
              </c:strCache>
            </c:strRef>
          </c:tx>
          <c:spPr>
            <a:solidFill>
              <a:schemeClr val="accent3"/>
            </a:solidFill>
            <a:ln>
              <a:noFill/>
            </a:ln>
            <a:effectLst/>
          </c:spPr>
          <c:invertIfNegative val="0"/>
          <c:cat>
            <c:strRef>
              <c:f>'Graphs - Total No Extr. Storms'!$P$8:$S$8</c:f>
              <c:strCache>
                <c:ptCount val="4"/>
                <c:pt idx="0">
                  <c:v>1979-1988</c:v>
                </c:pt>
                <c:pt idx="1">
                  <c:v>1989-1998</c:v>
                </c:pt>
                <c:pt idx="2">
                  <c:v>1999-2008</c:v>
                </c:pt>
                <c:pt idx="3">
                  <c:v>2009-2021</c:v>
                </c:pt>
              </c:strCache>
            </c:strRef>
          </c:cat>
          <c:val>
            <c:numRef>
              <c:f>'Graphs - Total No Extr. Storms'!$P$11:$S$11</c:f>
              <c:numCache>
                <c:formatCode>#,##0</c:formatCode>
                <c:ptCount val="4"/>
                <c:pt idx="0">
                  <c:v>0</c:v>
                </c:pt>
                <c:pt idx="1">
                  <c:v>0</c:v>
                </c:pt>
                <c:pt idx="2">
                  <c:v>3</c:v>
                </c:pt>
                <c:pt idx="3">
                  <c:v>0</c:v>
                </c:pt>
              </c:numCache>
            </c:numRef>
          </c:val>
          <c:extLst>
            <c:ext xmlns:c16="http://schemas.microsoft.com/office/drawing/2014/chart" uri="{C3380CC4-5D6E-409C-BE32-E72D297353CC}">
              <c16:uniqueId val="{00000001-63E7-413F-BC70-1AE231093759}"/>
            </c:ext>
          </c:extLst>
        </c:ser>
        <c:ser>
          <c:idx val="3"/>
          <c:order val="3"/>
          <c:tx>
            <c:strRef>
              <c:f>'Graphs - Total No Extr. Storms'!$O$12</c:f>
              <c:strCache>
                <c:ptCount val="1"/>
                <c:pt idx="0">
                  <c:v>Germany</c:v>
                </c:pt>
              </c:strCache>
            </c:strRef>
          </c:tx>
          <c:spPr>
            <a:solidFill>
              <a:schemeClr val="accent4"/>
            </a:solidFill>
            <a:ln>
              <a:noFill/>
            </a:ln>
            <a:effectLst/>
          </c:spPr>
          <c:invertIfNegative val="0"/>
          <c:cat>
            <c:strRef>
              <c:f>'Graphs - Total No Extr. Storms'!$P$8:$S$8</c:f>
              <c:strCache>
                <c:ptCount val="4"/>
                <c:pt idx="0">
                  <c:v>1979-1988</c:v>
                </c:pt>
                <c:pt idx="1">
                  <c:v>1989-1998</c:v>
                </c:pt>
                <c:pt idx="2">
                  <c:v>1999-2008</c:v>
                </c:pt>
                <c:pt idx="3">
                  <c:v>2009-2021</c:v>
                </c:pt>
              </c:strCache>
            </c:strRef>
          </c:cat>
          <c:val>
            <c:numRef>
              <c:f>'Graphs - Total No Extr. Storms'!$P$12:$S$12</c:f>
              <c:numCache>
                <c:formatCode>#,##0</c:formatCode>
                <c:ptCount val="4"/>
                <c:pt idx="0">
                  <c:v>0</c:v>
                </c:pt>
                <c:pt idx="1">
                  <c:v>2</c:v>
                </c:pt>
                <c:pt idx="2">
                  <c:v>1</c:v>
                </c:pt>
                <c:pt idx="3">
                  <c:v>0</c:v>
                </c:pt>
              </c:numCache>
            </c:numRef>
          </c:val>
          <c:extLst>
            <c:ext xmlns:c16="http://schemas.microsoft.com/office/drawing/2014/chart" uri="{C3380CC4-5D6E-409C-BE32-E72D297353CC}">
              <c16:uniqueId val="{00000002-63E7-413F-BC70-1AE231093759}"/>
            </c:ext>
          </c:extLst>
        </c:ser>
        <c:ser>
          <c:idx val="4"/>
          <c:order val="4"/>
          <c:tx>
            <c:strRef>
              <c:f>'Graphs - Total No Extr. Storms'!$O$13</c:f>
              <c:strCache>
                <c:ptCount val="1"/>
                <c:pt idx="0">
                  <c:v>BeNeLux</c:v>
                </c:pt>
              </c:strCache>
            </c:strRef>
          </c:tx>
          <c:spPr>
            <a:solidFill>
              <a:schemeClr val="accent5"/>
            </a:solidFill>
            <a:ln>
              <a:noFill/>
            </a:ln>
            <a:effectLst/>
          </c:spPr>
          <c:invertIfNegative val="0"/>
          <c:cat>
            <c:strRef>
              <c:f>'Graphs - Total No Extr. Storms'!$P$8:$S$8</c:f>
              <c:strCache>
                <c:ptCount val="4"/>
                <c:pt idx="0">
                  <c:v>1979-1988</c:v>
                </c:pt>
                <c:pt idx="1">
                  <c:v>1989-1998</c:v>
                </c:pt>
                <c:pt idx="2">
                  <c:v>1999-2008</c:v>
                </c:pt>
                <c:pt idx="3">
                  <c:v>2009-2021</c:v>
                </c:pt>
              </c:strCache>
            </c:strRef>
          </c:cat>
          <c:val>
            <c:numRef>
              <c:f>'Graphs - Total No Extr. Storms'!$P$13:$S$13</c:f>
              <c:numCache>
                <c:formatCode>#,##0</c:formatCode>
                <c:ptCount val="4"/>
                <c:pt idx="0">
                  <c:v>0</c:v>
                </c:pt>
                <c:pt idx="1">
                  <c:v>3</c:v>
                </c:pt>
                <c:pt idx="2">
                  <c:v>0</c:v>
                </c:pt>
                <c:pt idx="3">
                  <c:v>0</c:v>
                </c:pt>
              </c:numCache>
            </c:numRef>
          </c:val>
          <c:extLst>
            <c:ext xmlns:c16="http://schemas.microsoft.com/office/drawing/2014/chart" uri="{C3380CC4-5D6E-409C-BE32-E72D297353CC}">
              <c16:uniqueId val="{00000003-63E7-413F-BC70-1AE231093759}"/>
            </c:ext>
          </c:extLst>
        </c:ser>
        <c:ser>
          <c:idx val="5"/>
          <c:order val="5"/>
          <c:tx>
            <c:strRef>
              <c:f>'Graphs - Total No Extr. Storms'!$O$14</c:f>
              <c:strCache>
                <c:ptCount val="1"/>
                <c:pt idx="0">
                  <c:v>BeNeLuxMark</c:v>
                </c:pt>
              </c:strCache>
            </c:strRef>
          </c:tx>
          <c:spPr>
            <a:solidFill>
              <a:schemeClr val="accent6"/>
            </a:solidFill>
            <a:ln>
              <a:noFill/>
            </a:ln>
            <a:effectLst/>
          </c:spPr>
          <c:invertIfNegative val="0"/>
          <c:cat>
            <c:strRef>
              <c:f>'Graphs - Total No Extr. Storms'!$P$8:$S$8</c:f>
              <c:strCache>
                <c:ptCount val="4"/>
                <c:pt idx="0">
                  <c:v>1979-1988</c:v>
                </c:pt>
                <c:pt idx="1">
                  <c:v>1989-1998</c:v>
                </c:pt>
                <c:pt idx="2">
                  <c:v>1999-2008</c:v>
                </c:pt>
                <c:pt idx="3">
                  <c:v>2009-2021</c:v>
                </c:pt>
              </c:strCache>
            </c:strRef>
          </c:cat>
          <c:val>
            <c:numRef>
              <c:f>'Graphs - Total No Extr. Storms'!$P$14:$S$14</c:f>
              <c:numCache>
                <c:formatCode>#,##0</c:formatCode>
                <c:ptCount val="4"/>
                <c:pt idx="0">
                  <c:v>0</c:v>
                </c:pt>
                <c:pt idx="1">
                  <c:v>4</c:v>
                </c:pt>
                <c:pt idx="2">
                  <c:v>2</c:v>
                </c:pt>
                <c:pt idx="3">
                  <c:v>1</c:v>
                </c:pt>
              </c:numCache>
            </c:numRef>
          </c:val>
          <c:extLst>
            <c:ext xmlns:c16="http://schemas.microsoft.com/office/drawing/2014/chart" uri="{C3380CC4-5D6E-409C-BE32-E72D297353CC}">
              <c16:uniqueId val="{00000004-63E7-413F-BC70-1AE231093759}"/>
            </c:ext>
          </c:extLst>
        </c:ser>
        <c:ser>
          <c:idx val="6"/>
          <c:order val="6"/>
          <c:tx>
            <c:strRef>
              <c:f>'Graphs - Total No Extr. Storms'!$O$15</c:f>
              <c:strCache>
                <c:ptCount val="1"/>
                <c:pt idx="0">
                  <c:v>Scandinavia</c:v>
                </c:pt>
              </c:strCache>
            </c:strRef>
          </c:tx>
          <c:spPr>
            <a:solidFill>
              <a:schemeClr val="accent1">
                <a:lumMod val="60000"/>
              </a:schemeClr>
            </a:solidFill>
            <a:ln>
              <a:noFill/>
            </a:ln>
            <a:effectLst/>
          </c:spPr>
          <c:invertIfNegative val="0"/>
          <c:cat>
            <c:strRef>
              <c:f>'Graphs - Total No Extr. Storms'!$P$8:$S$8</c:f>
              <c:strCache>
                <c:ptCount val="4"/>
                <c:pt idx="0">
                  <c:v>1979-1988</c:v>
                </c:pt>
                <c:pt idx="1">
                  <c:v>1989-1998</c:v>
                </c:pt>
                <c:pt idx="2">
                  <c:v>1999-2008</c:v>
                </c:pt>
                <c:pt idx="3">
                  <c:v>2009-2021</c:v>
                </c:pt>
              </c:strCache>
            </c:strRef>
          </c:cat>
          <c:val>
            <c:numRef>
              <c:f>'Graphs - Total No Extr. Storms'!$P$15:$S$15</c:f>
              <c:numCache>
                <c:formatCode>#,##0</c:formatCode>
                <c:ptCount val="4"/>
                <c:pt idx="0">
                  <c:v>7</c:v>
                </c:pt>
                <c:pt idx="1">
                  <c:v>11</c:v>
                </c:pt>
                <c:pt idx="2">
                  <c:v>5</c:v>
                </c:pt>
                <c:pt idx="3">
                  <c:v>11</c:v>
                </c:pt>
              </c:numCache>
            </c:numRef>
          </c:val>
          <c:extLst>
            <c:ext xmlns:c16="http://schemas.microsoft.com/office/drawing/2014/chart" uri="{C3380CC4-5D6E-409C-BE32-E72D297353CC}">
              <c16:uniqueId val="{00000005-63E7-413F-BC70-1AE231093759}"/>
            </c:ext>
          </c:extLst>
        </c:ser>
        <c:ser>
          <c:idx val="7"/>
          <c:order val="7"/>
          <c:tx>
            <c:strRef>
              <c:f>'Graphs - Total No Extr. Storms'!$O$16</c:f>
              <c:strCache>
                <c:ptCount val="1"/>
                <c:pt idx="0">
                  <c:v>Iberian Peninsula</c:v>
                </c:pt>
              </c:strCache>
            </c:strRef>
          </c:tx>
          <c:spPr>
            <a:solidFill>
              <a:schemeClr val="accent2">
                <a:lumMod val="60000"/>
              </a:schemeClr>
            </a:solidFill>
            <a:ln>
              <a:noFill/>
            </a:ln>
            <a:effectLst/>
          </c:spPr>
          <c:invertIfNegative val="0"/>
          <c:cat>
            <c:strRef>
              <c:f>'Graphs - Total No Extr. Storms'!$P$8:$S$8</c:f>
              <c:strCache>
                <c:ptCount val="4"/>
                <c:pt idx="0">
                  <c:v>1979-1988</c:v>
                </c:pt>
                <c:pt idx="1">
                  <c:v>1989-1998</c:v>
                </c:pt>
                <c:pt idx="2">
                  <c:v>1999-2008</c:v>
                </c:pt>
                <c:pt idx="3">
                  <c:v>2009-2021</c:v>
                </c:pt>
              </c:strCache>
            </c:strRef>
          </c:cat>
          <c:val>
            <c:numRef>
              <c:f>'Graphs - Total No Extr. Storms'!$P$16:$S$16</c:f>
              <c:numCache>
                <c:formatCode>#,##0</c:formatCode>
                <c:ptCount val="4"/>
                <c:pt idx="0">
                  <c:v>0</c:v>
                </c:pt>
                <c:pt idx="1">
                  <c:v>0</c:v>
                </c:pt>
                <c:pt idx="2">
                  <c:v>0</c:v>
                </c:pt>
                <c:pt idx="3">
                  <c:v>0</c:v>
                </c:pt>
              </c:numCache>
            </c:numRef>
          </c:val>
          <c:extLst>
            <c:ext xmlns:c16="http://schemas.microsoft.com/office/drawing/2014/chart" uri="{C3380CC4-5D6E-409C-BE32-E72D297353CC}">
              <c16:uniqueId val="{00000006-63E7-413F-BC70-1AE231093759}"/>
            </c:ext>
          </c:extLst>
        </c:ser>
        <c:dLbls>
          <c:showLegendKey val="0"/>
          <c:showVal val="0"/>
          <c:showCatName val="0"/>
          <c:showSerName val="0"/>
          <c:showPercent val="0"/>
          <c:showBubbleSize val="0"/>
        </c:dLbls>
        <c:gapWidth val="247"/>
        <c:axId val="40652800"/>
        <c:axId val="40654336"/>
      </c:barChart>
      <c:lineChart>
        <c:grouping val="standard"/>
        <c:varyColors val="0"/>
        <c:ser>
          <c:idx val="0"/>
          <c:order val="0"/>
          <c:tx>
            <c:strRef>
              <c:f>'Graphs - Total No Extr. Storms'!$O$9</c:f>
              <c:strCache>
                <c:ptCount val="1"/>
                <c:pt idx="0">
                  <c:v>Europe (XWS Domain)</c:v>
                </c:pt>
              </c:strCache>
            </c:strRef>
          </c:tx>
          <c:spPr>
            <a:ln w="28575" cap="rnd">
              <a:solidFill>
                <a:schemeClr val="accent1"/>
              </a:solidFill>
              <a:round/>
            </a:ln>
            <a:effectLst/>
          </c:spPr>
          <c:marker>
            <c:symbol val="none"/>
          </c:marker>
          <c:cat>
            <c:strRef>
              <c:f>'Graphs - Total No Extr. Storms'!$P$8:$S$8</c:f>
              <c:strCache>
                <c:ptCount val="4"/>
                <c:pt idx="0">
                  <c:v>1979-1988</c:v>
                </c:pt>
                <c:pt idx="1">
                  <c:v>1989-1998</c:v>
                </c:pt>
                <c:pt idx="2">
                  <c:v>1999-2008</c:v>
                </c:pt>
                <c:pt idx="3">
                  <c:v>2009-2021</c:v>
                </c:pt>
              </c:strCache>
            </c:strRef>
          </c:cat>
          <c:val>
            <c:numRef>
              <c:f>'Graphs - Total No Extr. Storms'!$P$9:$S$9</c:f>
              <c:numCache>
                <c:formatCode>#,##0</c:formatCode>
                <c:ptCount val="4"/>
                <c:pt idx="0">
                  <c:v>10</c:v>
                </c:pt>
                <c:pt idx="1">
                  <c:v>15</c:v>
                </c:pt>
                <c:pt idx="2">
                  <c:v>10</c:v>
                </c:pt>
                <c:pt idx="3">
                  <c:v>12</c:v>
                </c:pt>
              </c:numCache>
            </c:numRef>
          </c:val>
          <c:smooth val="0"/>
          <c:extLst>
            <c:ext xmlns:c16="http://schemas.microsoft.com/office/drawing/2014/chart" uri="{C3380CC4-5D6E-409C-BE32-E72D297353CC}">
              <c16:uniqueId val="{00000007-63E7-413F-BC70-1AE231093759}"/>
            </c:ext>
          </c:extLst>
        </c:ser>
        <c:dLbls>
          <c:showLegendKey val="0"/>
          <c:showVal val="0"/>
          <c:showCatName val="0"/>
          <c:showSerName val="0"/>
          <c:showPercent val="0"/>
          <c:showBubbleSize val="0"/>
        </c:dLbls>
        <c:marker val="1"/>
        <c:smooth val="0"/>
        <c:axId val="828436792"/>
        <c:axId val="828435480"/>
      </c:lineChart>
      <c:catAx>
        <c:axId val="406528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4336"/>
        <c:crosses val="autoZero"/>
        <c:auto val="1"/>
        <c:lblAlgn val="ctr"/>
        <c:lblOffset val="100"/>
        <c:noMultiLvlLbl val="0"/>
      </c:catAx>
      <c:valAx>
        <c:axId val="40654336"/>
        <c:scaling>
          <c:orientation val="minMax"/>
          <c:max val="1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ETCs per country / region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2800"/>
        <c:crosses val="autoZero"/>
        <c:crossBetween val="between"/>
      </c:valAx>
      <c:valAx>
        <c:axId val="828435480"/>
        <c:scaling>
          <c:orientation val="minMax"/>
          <c:max val="15"/>
          <c:min val="0"/>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36792"/>
        <c:crosses val="max"/>
        <c:crossBetween val="between"/>
      </c:valAx>
      <c:catAx>
        <c:axId val="828436792"/>
        <c:scaling>
          <c:orientation val="minMax"/>
        </c:scaling>
        <c:delete val="1"/>
        <c:axPos val="b"/>
        <c:numFmt formatCode="General" sourceLinked="1"/>
        <c:majorTickMark val="none"/>
        <c:minorTickMark val="none"/>
        <c:tickLblPos val="nextTo"/>
        <c:crossAx val="82843548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Mean severity of extreme windstorms &gt; 15.6 m/s (SSI calculated over the region)</a:t>
            </a:r>
            <a:br>
              <a:rPr lang="en-GB" sz="1400" b="1" i="0" u="none" strike="noStrike" baseline="0">
                <a:effectLst/>
              </a:rPr>
            </a:br>
            <a:r>
              <a:rPr lang="en-GB" sz="1400" b="1" i="0" u="none" strike="noStrike" baseline="0">
                <a:effectLst/>
              </a:rPr>
              <a:t>values x10^7 (ERA5) </a:t>
            </a:r>
            <a:endParaRPr lang="en-GB"/>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'Graphs - Average SSI'!$A$10</c:f>
              <c:strCache>
                <c:ptCount val="1"/>
                <c:pt idx="0">
                  <c:v>UK</c:v>
                </c:pt>
              </c:strCache>
            </c:strRef>
          </c:tx>
          <c:spPr>
            <a:solidFill>
              <a:schemeClr val="accent2"/>
            </a:solidFill>
            <a:ln>
              <a:noFill/>
            </a:ln>
            <a:effectLst/>
          </c:spPr>
          <c:invertIfNegative val="0"/>
          <c:cat>
            <c:strRef>
              <c:f>'Graphs - Average SSI'!$B$8:$E$8</c:f>
              <c:strCache>
                <c:ptCount val="4"/>
                <c:pt idx="0">
                  <c:v>1979-1988</c:v>
                </c:pt>
                <c:pt idx="1">
                  <c:v>1989-1998</c:v>
                </c:pt>
                <c:pt idx="2">
                  <c:v>1999-2008</c:v>
                </c:pt>
                <c:pt idx="3">
                  <c:v>2009-2018</c:v>
                </c:pt>
              </c:strCache>
            </c:strRef>
          </c:cat>
          <c:val>
            <c:numRef>
              <c:f>'Graphs - Average SSI'!$B$10:$E$10</c:f>
              <c:numCache>
                <c:formatCode>#,##0.00</c:formatCode>
                <c:ptCount val="4"/>
                <c:pt idx="0">
                  <c:v>5.15</c:v>
                </c:pt>
                <c:pt idx="1">
                  <c:v>3.53</c:v>
                </c:pt>
                <c:pt idx="2">
                  <c:v>5.53</c:v>
                </c:pt>
                <c:pt idx="3">
                  <c:v>4.88</c:v>
                </c:pt>
              </c:numCache>
            </c:numRef>
          </c:val>
          <c:extLst>
            <c:ext xmlns:c16="http://schemas.microsoft.com/office/drawing/2014/chart" uri="{C3380CC4-5D6E-409C-BE32-E72D297353CC}">
              <c16:uniqueId val="{00000000-C660-4E1B-8399-8CDF1DAB55BF}"/>
            </c:ext>
          </c:extLst>
        </c:ser>
        <c:ser>
          <c:idx val="2"/>
          <c:order val="2"/>
          <c:tx>
            <c:strRef>
              <c:f>'Graphs - Average SSI'!$A$11</c:f>
              <c:strCache>
                <c:ptCount val="1"/>
                <c:pt idx="0">
                  <c:v>France</c:v>
                </c:pt>
              </c:strCache>
            </c:strRef>
          </c:tx>
          <c:spPr>
            <a:solidFill>
              <a:schemeClr val="accent3"/>
            </a:solidFill>
            <a:ln>
              <a:noFill/>
            </a:ln>
            <a:effectLst/>
          </c:spPr>
          <c:invertIfNegative val="0"/>
          <c:cat>
            <c:strRef>
              <c:f>'Graphs - Average SSI'!$B$8:$E$8</c:f>
              <c:strCache>
                <c:ptCount val="4"/>
                <c:pt idx="0">
                  <c:v>1979-1988</c:v>
                </c:pt>
                <c:pt idx="1">
                  <c:v>1989-1998</c:v>
                </c:pt>
                <c:pt idx="2">
                  <c:v>1999-2008</c:v>
                </c:pt>
                <c:pt idx="3">
                  <c:v>2009-2018</c:v>
                </c:pt>
              </c:strCache>
            </c:strRef>
          </c:cat>
          <c:val>
            <c:numRef>
              <c:f>'Graphs - Average SSI'!$B$11:$E$11</c:f>
              <c:numCache>
                <c:formatCode>#,##0.00</c:formatCode>
                <c:ptCount val="4"/>
                <c:pt idx="0">
                  <c:v>0.82899999999999996</c:v>
                </c:pt>
                <c:pt idx="1">
                  <c:v>2.17</c:v>
                </c:pt>
                <c:pt idx="2">
                  <c:v>4.47</c:v>
                </c:pt>
                <c:pt idx="3">
                  <c:v>2.12</c:v>
                </c:pt>
              </c:numCache>
            </c:numRef>
          </c:val>
          <c:extLst>
            <c:ext xmlns:c16="http://schemas.microsoft.com/office/drawing/2014/chart" uri="{C3380CC4-5D6E-409C-BE32-E72D297353CC}">
              <c16:uniqueId val="{00000001-C660-4E1B-8399-8CDF1DAB55BF}"/>
            </c:ext>
          </c:extLst>
        </c:ser>
        <c:ser>
          <c:idx val="3"/>
          <c:order val="3"/>
          <c:tx>
            <c:strRef>
              <c:f>'Graphs - Average SSI'!$A$12</c:f>
              <c:strCache>
                <c:ptCount val="1"/>
                <c:pt idx="0">
                  <c:v>Germany</c:v>
                </c:pt>
              </c:strCache>
            </c:strRef>
          </c:tx>
          <c:spPr>
            <a:solidFill>
              <a:schemeClr val="accent4"/>
            </a:solidFill>
            <a:ln>
              <a:noFill/>
            </a:ln>
            <a:effectLst/>
          </c:spPr>
          <c:invertIfNegative val="0"/>
          <c:cat>
            <c:strRef>
              <c:f>'Graphs - Average SSI'!$B$8:$E$8</c:f>
              <c:strCache>
                <c:ptCount val="4"/>
                <c:pt idx="0">
                  <c:v>1979-1988</c:v>
                </c:pt>
                <c:pt idx="1">
                  <c:v>1989-1998</c:v>
                </c:pt>
                <c:pt idx="2">
                  <c:v>1999-2008</c:v>
                </c:pt>
                <c:pt idx="3">
                  <c:v>2009-2018</c:v>
                </c:pt>
              </c:strCache>
            </c:strRef>
          </c:cat>
          <c:val>
            <c:numRef>
              <c:f>'Graphs - Average SSI'!$B$12:$E$12</c:f>
              <c:numCache>
                <c:formatCode>#,##0.00</c:formatCode>
                <c:ptCount val="4"/>
                <c:pt idx="0">
                  <c:v>0</c:v>
                </c:pt>
                <c:pt idx="1">
                  <c:v>1.41</c:v>
                </c:pt>
                <c:pt idx="2">
                  <c:v>0.58799999999999997</c:v>
                </c:pt>
                <c:pt idx="3">
                  <c:v>0.66600000000000004</c:v>
                </c:pt>
              </c:numCache>
            </c:numRef>
          </c:val>
          <c:extLst>
            <c:ext xmlns:c16="http://schemas.microsoft.com/office/drawing/2014/chart" uri="{C3380CC4-5D6E-409C-BE32-E72D297353CC}">
              <c16:uniqueId val="{00000002-C660-4E1B-8399-8CDF1DAB55BF}"/>
            </c:ext>
          </c:extLst>
        </c:ser>
        <c:ser>
          <c:idx val="4"/>
          <c:order val="4"/>
          <c:tx>
            <c:strRef>
              <c:f>'Graphs - Average SSI'!$A$13</c:f>
              <c:strCache>
                <c:ptCount val="1"/>
                <c:pt idx="0">
                  <c:v>BeNeLux</c:v>
                </c:pt>
              </c:strCache>
            </c:strRef>
          </c:tx>
          <c:spPr>
            <a:solidFill>
              <a:schemeClr val="accent5"/>
            </a:solidFill>
            <a:ln>
              <a:noFill/>
            </a:ln>
            <a:effectLst/>
          </c:spPr>
          <c:invertIfNegative val="0"/>
          <c:cat>
            <c:strRef>
              <c:f>'Graphs - Average SSI'!$B$8:$E$8</c:f>
              <c:strCache>
                <c:ptCount val="4"/>
                <c:pt idx="0">
                  <c:v>1979-1988</c:v>
                </c:pt>
                <c:pt idx="1">
                  <c:v>1989-1998</c:v>
                </c:pt>
                <c:pt idx="2">
                  <c:v>1999-2008</c:v>
                </c:pt>
                <c:pt idx="3">
                  <c:v>2009-2018</c:v>
                </c:pt>
              </c:strCache>
            </c:strRef>
          </c:cat>
          <c:val>
            <c:numRef>
              <c:f>'Graphs - Average SSI'!$B$13:$E$13</c:f>
              <c:numCache>
                <c:formatCode>#,##0.00</c:formatCode>
                <c:ptCount val="4"/>
                <c:pt idx="0">
                  <c:v>1.61</c:v>
                </c:pt>
                <c:pt idx="1">
                  <c:v>2.75</c:v>
                </c:pt>
                <c:pt idx="2">
                  <c:v>0.745</c:v>
                </c:pt>
                <c:pt idx="3">
                  <c:v>0.69899999999999995</c:v>
                </c:pt>
              </c:numCache>
            </c:numRef>
          </c:val>
          <c:extLst>
            <c:ext xmlns:c16="http://schemas.microsoft.com/office/drawing/2014/chart" uri="{C3380CC4-5D6E-409C-BE32-E72D297353CC}">
              <c16:uniqueId val="{00000003-C660-4E1B-8399-8CDF1DAB55BF}"/>
            </c:ext>
          </c:extLst>
        </c:ser>
        <c:ser>
          <c:idx val="5"/>
          <c:order val="5"/>
          <c:tx>
            <c:strRef>
              <c:f>'Graphs - Average SSI'!$A$14</c:f>
              <c:strCache>
                <c:ptCount val="1"/>
                <c:pt idx="0">
                  <c:v>BeNeLux + Denmark</c:v>
                </c:pt>
              </c:strCache>
            </c:strRef>
          </c:tx>
          <c:spPr>
            <a:solidFill>
              <a:schemeClr val="accent6"/>
            </a:solidFill>
            <a:ln>
              <a:noFill/>
            </a:ln>
            <a:effectLst/>
          </c:spPr>
          <c:invertIfNegative val="0"/>
          <c:cat>
            <c:strRef>
              <c:f>'Graphs - Average SSI'!$B$8:$E$8</c:f>
              <c:strCache>
                <c:ptCount val="4"/>
                <c:pt idx="0">
                  <c:v>1979-1988</c:v>
                </c:pt>
                <c:pt idx="1">
                  <c:v>1989-1998</c:v>
                </c:pt>
                <c:pt idx="2">
                  <c:v>1999-2008</c:v>
                </c:pt>
                <c:pt idx="3">
                  <c:v>2009-2018</c:v>
                </c:pt>
              </c:strCache>
            </c:strRef>
          </c:cat>
          <c:val>
            <c:numRef>
              <c:f>'Graphs - Average SSI'!$B$14:$E$14</c:f>
              <c:numCache>
                <c:formatCode>#,##0.00</c:formatCode>
                <c:ptCount val="4"/>
                <c:pt idx="0">
                  <c:v>3.61</c:v>
                </c:pt>
                <c:pt idx="1">
                  <c:v>2.9</c:v>
                </c:pt>
                <c:pt idx="2">
                  <c:v>3.97</c:v>
                </c:pt>
                <c:pt idx="3">
                  <c:v>2.16</c:v>
                </c:pt>
              </c:numCache>
            </c:numRef>
          </c:val>
          <c:extLst>
            <c:ext xmlns:c16="http://schemas.microsoft.com/office/drawing/2014/chart" uri="{C3380CC4-5D6E-409C-BE32-E72D297353CC}">
              <c16:uniqueId val="{00000004-C660-4E1B-8399-8CDF1DAB55BF}"/>
            </c:ext>
          </c:extLst>
        </c:ser>
        <c:ser>
          <c:idx val="6"/>
          <c:order val="6"/>
          <c:tx>
            <c:strRef>
              <c:f>'Graphs - Average SSI'!$A$15</c:f>
              <c:strCache>
                <c:ptCount val="1"/>
                <c:pt idx="0">
                  <c:v>Scandinavia</c:v>
                </c:pt>
              </c:strCache>
            </c:strRef>
          </c:tx>
          <c:spPr>
            <a:solidFill>
              <a:schemeClr val="accent1">
                <a:lumMod val="60000"/>
              </a:schemeClr>
            </a:solidFill>
            <a:ln>
              <a:noFill/>
            </a:ln>
            <a:effectLst/>
          </c:spPr>
          <c:invertIfNegative val="0"/>
          <c:cat>
            <c:strRef>
              <c:f>'Graphs - Average SSI'!$B$8:$E$8</c:f>
              <c:strCache>
                <c:ptCount val="4"/>
                <c:pt idx="0">
                  <c:v>1979-1988</c:v>
                </c:pt>
                <c:pt idx="1">
                  <c:v>1989-1998</c:v>
                </c:pt>
                <c:pt idx="2">
                  <c:v>1999-2008</c:v>
                </c:pt>
                <c:pt idx="3">
                  <c:v>2009-2018</c:v>
                </c:pt>
              </c:strCache>
            </c:strRef>
          </c:cat>
          <c:val>
            <c:numRef>
              <c:f>'Graphs - Average SSI'!$B$15:$E$15</c:f>
              <c:numCache>
                <c:formatCode>#,##0.00</c:formatCode>
                <c:ptCount val="4"/>
                <c:pt idx="0">
                  <c:v>1.94</c:v>
                </c:pt>
                <c:pt idx="1">
                  <c:v>2.09</c:v>
                </c:pt>
                <c:pt idx="2">
                  <c:v>2.0699999999999998</c:v>
                </c:pt>
                <c:pt idx="3">
                  <c:v>1.7</c:v>
                </c:pt>
              </c:numCache>
            </c:numRef>
          </c:val>
          <c:extLst>
            <c:ext xmlns:c16="http://schemas.microsoft.com/office/drawing/2014/chart" uri="{C3380CC4-5D6E-409C-BE32-E72D297353CC}">
              <c16:uniqueId val="{00000005-C660-4E1B-8399-8CDF1DAB55BF}"/>
            </c:ext>
          </c:extLst>
        </c:ser>
        <c:ser>
          <c:idx val="7"/>
          <c:order val="7"/>
          <c:tx>
            <c:strRef>
              <c:f>'Graphs - Average SSI'!$A$16</c:f>
              <c:strCache>
                <c:ptCount val="1"/>
                <c:pt idx="0">
                  <c:v>Iberian Peninsula</c:v>
                </c:pt>
              </c:strCache>
            </c:strRef>
          </c:tx>
          <c:spPr>
            <a:solidFill>
              <a:schemeClr val="accent2">
                <a:lumMod val="60000"/>
              </a:schemeClr>
            </a:solidFill>
            <a:ln>
              <a:noFill/>
            </a:ln>
            <a:effectLst/>
          </c:spPr>
          <c:invertIfNegative val="0"/>
          <c:cat>
            <c:strRef>
              <c:f>'Graphs - Average SSI'!$B$8:$E$8</c:f>
              <c:strCache>
                <c:ptCount val="4"/>
                <c:pt idx="0">
                  <c:v>1979-1988</c:v>
                </c:pt>
                <c:pt idx="1">
                  <c:v>1989-1998</c:v>
                </c:pt>
                <c:pt idx="2">
                  <c:v>1999-2008</c:v>
                </c:pt>
                <c:pt idx="3">
                  <c:v>2009-2018</c:v>
                </c:pt>
              </c:strCache>
            </c:strRef>
          </c:cat>
          <c:val>
            <c:numRef>
              <c:f>'Graphs - Average SSI'!$B$16:$E$16</c:f>
              <c:numCache>
                <c:formatCode>#,##0.00</c:formatCode>
                <c:ptCount val="4"/>
                <c:pt idx="0">
                  <c:v>1.53</c:v>
                </c:pt>
                <c:pt idx="1">
                  <c:v>0.38800000000000001</c:v>
                </c:pt>
                <c:pt idx="2">
                  <c:v>1.17</c:v>
                </c:pt>
                <c:pt idx="3">
                  <c:v>0.47</c:v>
                </c:pt>
              </c:numCache>
            </c:numRef>
          </c:val>
          <c:extLst>
            <c:ext xmlns:c16="http://schemas.microsoft.com/office/drawing/2014/chart" uri="{C3380CC4-5D6E-409C-BE32-E72D297353CC}">
              <c16:uniqueId val="{00000006-C660-4E1B-8399-8CDF1DAB55BF}"/>
            </c:ext>
          </c:extLst>
        </c:ser>
        <c:dLbls>
          <c:showLegendKey val="0"/>
          <c:showVal val="0"/>
          <c:showCatName val="0"/>
          <c:showSerName val="0"/>
          <c:showPercent val="0"/>
          <c:showBubbleSize val="0"/>
        </c:dLbls>
        <c:gapWidth val="247"/>
        <c:axId val="40652800"/>
        <c:axId val="40654336"/>
      </c:barChart>
      <c:lineChart>
        <c:grouping val="standard"/>
        <c:varyColors val="0"/>
        <c:ser>
          <c:idx val="0"/>
          <c:order val="0"/>
          <c:tx>
            <c:strRef>
              <c:f>'Graphs - Average SSI'!$A$9</c:f>
              <c:strCache>
                <c:ptCount val="1"/>
                <c:pt idx="0">
                  <c:v>Europe (XWS Domain)</c:v>
                </c:pt>
              </c:strCache>
            </c:strRef>
          </c:tx>
          <c:spPr>
            <a:ln w="28575" cap="rnd">
              <a:solidFill>
                <a:schemeClr val="accent1"/>
              </a:solidFill>
              <a:round/>
            </a:ln>
            <a:effectLst/>
          </c:spPr>
          <c:marker>
            <c:symbol val="none"/>
          </c:marker>
          <c:cat>
            <c:strRef>
              <c:f>'Graphs - Average SSI'!$B$8:$E$8</c:f>
              <c:strCache>
                <c:ptCount val="4"/>
                <c:pt idx="0">
                  <c:v>1979-1988</c:v>
                </c:pt>
                <c:pt idx="1">
                  <c:v>1989-1998</c:v>
                </c:pt>
                <c:pt idx="2">
                  <c:v>1999-2008</c:v>
                </c:pt>
                <c:pt idx="3">
                  <c:v>2009-2018</c:v>
                </c:pt>
              </c:strCache>
            </c:strRef>
          </c:cat>
          <c:val>
            <c:numRef>
              <c:f>'Graphs - Average SSI'!$B$9:$E$9</c:f>
              <c:numCache>
                <c:formatCode>#,##0.00</c:formatCode>
                <c:ptCount val="4"/>
                <c:pt idx="0">
                  <c:v>5.99</c:v>
                </c:pt>
                <c:pt idx="1">
                  <c:v>7.71</c:v>
                </c:pt>
                <c:pt idx="2">
                  <c:v>7.12</c:v>
                </c:pt>
                <c:pt idx="3">
                  <c:v>5.56</c:v>
                </c:pt>
              </c:numCache>
            </c:numRef>
          </c:val>
          <c:smooth val="0"/>
          <c:extLst>
            <c:ext xmlns:c16="http://schemas.microsoft.com/office/drawing/2014/chart" uri="{C3380CC4-5D6E-409C-BE32-E72D297353CC}">
              <c16:uniqueId val="{00000007-C660-4E1B-8399-8CDF1DAB55BF}"/>
            </c:ext>
          </c:extLst>
        </c:ser>
        <c:dLbls>
          <c:showLegendKey val="0"/>
          <c:showVal val="0"/>
          <c:showCatName val="0"/>
          <c:showSerName val="0"/>
          <c:showPercent val="0"/>
          <c:showBubbleSize val="0"/>
        </c:dLbls>
        <c:marker val="1"/>
        <c:smooth val="0"/>
        <c:axId val="828436792"/>
        <c:axId val="828435480"/>
      </c:lineChart>
      <c:catAx>
        <c:axId val="406528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4336"/>
        <c:crosses val="autoZero"/>
        <c:auto val="1"/>
        <c:lblAlgn val="ctr"/>
        <c:lblOffset val="100"/>
        <c:noMultiLvlLbl val="0"/>
      </c:catAx>
      <c:valAx>
        <c:axId val="40654336"/>
        <c:scaling>
          <c:orientation val="minMax"/>
          <c:max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ETCs per country / region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2800"/>
        <c:crosses val="autoZero"/>
        <c:crossBetween val="between"/>
      </c:valAx>
      <c:valAx>
        <c:axId val="828435480"/>
        <c:scaling>
          <c:orientation val="minMax"/>
          <c:max val="10"/>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36792"/>
        <c:crosses val="max"/>
        <c:crossBetween val="between"/>
      </c:valAx>
      <c:catAx>
        <c:axId val="828436792"/>
        <c:scaling>
          <c:orientation val="minMax"/>
        </c:scaling>
        <c:delete val="1"/>
        <c:axPos val="b"/>
        <c:numFmt formatCode="General" sourceLinked="1"/>
        <c:majorTickMark val="none"/>
        <c:minorTickMark val="none"/>
        <c:tickLblPos val="nextTo"/>
        <c:crossAx val="82843548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1" i="0" u="none" strike="noStrike" baseline="0">
                <a:effectLst/>
              </a:rPr>
              <a:t>Mean severity of extreme </a:t>
            </a:r>
            <a:r>
              <a:rPr lang="en-GB" sz="1400" b="1" i="0" u="none" strike="noStrike" kern="1200" spc="0" baseline="0">
                <a:solidFill>
                  <a:sysClr val="windowText" lastClr="000000">
                    <a:lumMod val="65000"/>
                    <a:lumOff val="35000"/>
                  </a:sysClr>
                </a:solidFill>
                <a:effectLst/>
                <a:latin typeface="+mn-lt"/>
                <a:ea typeface="+mn-ea"/>
                <a:cs typeface="+mn-cs"/>
              </a:rPr>
              <a:t>windstorms </a:t>
            </a:r>
            <a:r>
              <a:rPr lang="en-GB" sz="1400" b="1" i="0" u="none" strike="noStrike" baseline="0">
                <a:effectLst/>
              </a:rPr>
              <a:t>&gt; 20.0 m/s</a:t>
            </a:r>
            <a:r>
              <a:rPr lang="en-GB" sz="1400" b="1" i="0" u="none" strike="noStrike" kern="1200" spc="0" baseline="0">
                <a:solidFill>
                  <a:sysClr val="windowText" lastClr="000000">
                    <a:lumMod val="65000"/>
                    <a:lumOff val="35000"/>
                  </a:sysClr>
                </a:solidFill>
                <a:effectLst/>
                <a:latin typeface="+mn-lt"/>
                <a:ea typeface="+mn-ea"/>
                <a:cs typeface="+mn-cs"/>
              </a:rPr>
              <a:t> </a:t>
            </a:r>
            <a:r>
              <a:rPr lang="en-GB" sz="1400" b="1" i="0" u="none" strike="noStrike" baseline="0">
                <a:effectLst/>
              </a:rPr>
              <a:t>(SSI calculated over the region)</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GB" sz="1400" b="1" i="0" baseline="0">
                <a:effectLst/>
              </a:rPr>
              <a:t>values x10^7 (ERA5) </a:t>
            </a:r>
            <a:endParaRPr lang="en-GB" sz="1400">
              <a:effectLst/>
            </a:endParaRP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1"/>
          <c:order val="1"/>
          <c:tx>
            <c:strRef>
              <c:f>'Graphs - Average SSI'!$H$10</c:f>
              <c:strCache>
                <c:ptCount val="1"/>
                <c:pt idx="0">
                  <c:v>UK</c:v>
                </c:pt>
              </c:strCache>
            </c:strRef>
          </c:tx>
          <c:spPr>
            <a:solidFill>
              <a:schemeClr val="accent2"/>
            </a:solidFill>
            <a:ln>
              <a:noFill/>
            </a:ln>
            <a:effectLst/>
          </c:spPr>
          <c:invertIfNegative val="0"/>
          <c:cat>
            <c:strRef>
              <c:f>'Graphs - Average SSI'!$I$8:$L$8</c:f>
              <c:strCache>
                <c:ptCount val="4"/>
                <c:pt idx="0">
                  <c:v>1979-1988</c:v>
                </c:pt>
                <c:pt idx="1">
                  <c:v>1989-1998</c:v>
                </c:pt>
                <c:pt idx="2">
                  <c:v>1999-2008</c:v>
                </c:pt>
                <c:pt idx="3">
                  <c:v>2009-2018</c:v>
                </c:pt>
              </c:strCache>
            </c:strRef>
          </c:cat>
          <c:val>
            <c:numRef>
              <c:f>'Graphs - Average SSI'!$I$10:$L$10</c:f>
              <c:numCache>
                <c:formatCode>#,##0.00</c:formatCode>
                <c:ptCount val="4"/>
                <c:pt idx="0">
                  <c:v>2.6</c:v>
                </c:pt>
                <c:pt idx="1">
                  <c:v>2.96</c:v>
                </c:pt>
                <c:pt idx="2">
                  <c:v>2.87</c:v>
                </c:pt>
                <c:pt idx="3">
                  <c:v>2.36</c:v>
                </c:pt>
              </c:numCache>
            </c:numRef>
          </c:val>
          <c:extLst>
            <c:ext xmlns:c16="http://schemas.microsoft.com/office/drawing/2014/chart" uri="{C3380CC4-5D6E-409C-BE32-E72D297353CC}">
              <c16:uniqueId val="{00000000-1D07-4034-8C90-82B54484AC02}"/>
            </c:ext>
          </c:extLst>
        </c:ser>
        <c:ser>
          <c:idx val="2"/>
          <c:order val="2"/>
          <c:tx>
            <c:strRef>
              <c:f>'Graphs - Average SSI'!$H$11</c:f>
              <c:strCache>
                <c:ptCount val="1"/>
                <c:pt idx="0">
                  <c:v>France</c:v>
                </c:pt>
              </c:strCache>
            </c:strRef>
          </c:tx>
          <c:spPr>
            <a:solidFill>
              <a:schemeClr val="accent3"/>
            </a:solidFill>
            <a:ln>
              <a:noFill/>
            </a:ln>
            <a:effectLst/>
          </c:spPr>
          <c:invertIfNegative val="0"/>
          <c:cat>
            <c:strRef>
              <c:f>'Graphs - Average SSI'!$I$8:$L$8</c:f>
              <c:strCache>
                <c:ptCount val="4"/>
                <c:pt idx="0">
                  <c:v>1979-1988</c:v>
                </c:pt>
                <c:pt idx="1">
                  <c:v>1989-1998</c:v>
                </c:pt>
                <c:pt idx="2">
                  <c:v>1999-2008</c:v>
                </c:pt>
                <c:pt idx="3">
                  <c:v>2009-2018</c:v>
                </c:pt>
              </c:strCache>
            </c:strRef>
          </c:cat>
          <c:val>
            <c:numRef>
              <c:f>'Graphs - Average SSI'!$I$11:$L$11</c:f>
              <c:numCache>
                <c:formatCode>#,##0.00</c:formatCode>
                <c:ptCount val="4"/>
                <c:pt idx="0">
                  <c:v>0.53500000000000003</c:v>
                </c:pt>
                <c:pt idx="1">
                  <c:v>1.63</c:v>
                </c:pt>
                <c:pt idx="2">
                  <c:v>3.31</c:v>
                </c:pt>
                <c:pt idx="3">
                  <c:v>0.80200000000000005</c:v>
                </c:pt>
              </c:numCache>
            </c:numRef>
          </c:val>
          <c:extLst>
            <c:ext xmlns:c16="http://schemas.microsoft.com/office/drawing/2014/chart" uri="{C3380CC4-5D6E-409C-BE32-E72D297353CC}">
              <c16:uniqueId val="{00000001-1D07-4034-8C90-82B54484AC02}"/>
            </c:ext>
          </c:extLst>
        </c:ser>
        <c:ser>
          <c:idx val="3"/>
          <c:order val="3"/>
          <c:tx>
            <c:strRef>
              <c:f>'Graphs - Average SSI'!$H$12</c:f>
              <c:strCache>
                <c:ptCount val="1"/>
                <c:pt idx="0">
                  <c:v>Germany</c:v>
                </c:pt>
              </c:strCache>
            </c:strRef>
          </c:tx>
          <c:spPr>
            <a:solidFill>
              <a:schemeClr val="accent4"/>
            </a:solidFill>
            <a:ln>
              <a:noFill/>
            </a:ln>
            <a:effectLst/>
          </c:spPr>
          <c:invertIfNegative val="0"/>
          <c:cat>
            <c:strRef>
              <c:f>'Graphs - Average SSI'!$I$8:$L$8</c:f>
              <c:strCache>
                <c:ptCount val="4"/>
                <c:pt idx="0">
                  <c:v>1979-1988</c:v>
                </c:pt>
                <c:pt idx="1">
                  <c:v>1989-1998</c:v>
                </c:pt>
                <c:pt idx="2">
                  <c:v>1999-2008</c:v>
                </c:pt>
                <c:pt idx="3">
                  <c:v>2009-2018</c:v>
                </c:pt>
              </c:strCache>
            </c:strRef>
          </c:cat>
          <c:val>
            <c:numRef>
              <c:f>'Graphs - Average SSI'!$I$12:$L$12</c:f>
              <c:numCache>
                <c:formatCode>#,##0.00</c:formatCode>
                <c:ptCount val="4"/>
                <c:pt idx="0">
                  <c:v>0</c:v>
                </c:pt>
                <c:pt idx="1">
                  <c:v>0</c:v>
                </c:pt>
                <c:pt idx="2">
                  <c:v>0</c:v>
                </c:pt>
                <c:pt idx="3">
                  <c:v>0</c:v>
                </c:pt>
              </c:numCache>
            </c:numRef>
          </c:val>
          <c:extLst>
            <c:ext xmlns:c16="http://schemas.microsoft.com/office/drawing/2014/chart" uri="{C3380CC4-5D6E-409C-BE32-E72D297353CC}">
              <c16:uniqueId val="{00000002-1D07-4034-8C90-82B54484AC02}"/>
            </c:ext>
          </c:extLst>
        </c:ser>
        <c:ser>
          <c:idx val="4"/>
          <c:order val="4"/>
          <c:tx>
            <c:strRef>
              <c:f>'Graphs - Average SSI'!$H$13</c:f>
              <c:strCache>
                <c:ptCount val="1"/>
                <c:pt idx="0">
                  <c:v>BeNeLux</c:v>
                </c:pt>
              </c:strCache>
            </c:strRef>
          </c:tx>
          <c:spPr>
            <a:solidFill>
              <a:schemeClr val="accent5"/>
            </a:solidFill>
            <a:ln>
              <a:noFill/>
            </a:ln>
            <a:effectLst/>
          </c:spPr>
          <c:invertIfNegative val="0"/>
          <c:cat>
            <c:strRef>
              <c:f>'Graphs - Average SSI'!$I$8:$L$8</c:f>
              <c:strCache>
                <c:ptCount val="4"/>
                <c:pt idx="0">
                  <c:v>1979-1988</c:v>
                </c:pt>
                <c:pt idx="1">
                  <c:v>1989-1998</c:v>
                </c:pt>
                <c:pt idx="2">
                  <c:v>1999-2008</c:v>
                </c:pt>
                <c:pt idx="3">
                  <c:v>2009-2018</c:v>
                </c:pt>
              </c:strCache>
            </c:strRef>
          </c:cat>
          <c:val>
            <c:numRef>
              <c:f>'Graphs - Average SSI'!$I$13:$L$13</c:f>
              <c:numCache>
                <c:formatCode>#,##0.00</c:formatCode>
                <c:ptCount val="4"/>
                <c:pt idx="0">
                  <c:v>1.1000000000000001</c:v>
                </c:pt>
                <c:pt idx="1">
                  <c:v>3.28</c:v>
                </c:pt>
                <c:pt idx="2">
                  <c:v>0</c:v>
                </c:pt>
                <c:pt idx="3">
                  <c:v>0</c:v>
                </c:pt>
              </c:numCache>
            </c:numRef>
          </c:val>
          <c:extLst>
            <c:ext xmlns:c16="http://schemas.microsoft.com/office/drawing/2014/chart" uri="{C3380CC4-5D6E-409C-BE32-E72D297353CC}">
              <c16:uniqueId val="{00000003-1D07-4034-8C90-82B54484AC02}"/>
            </c:ext>
          </c:extLst>
        </c:ser>
        <c:ser>
          <c:idx val="5"/>
          <c:order val="5"/>
          <c:tx>
            <c:strRef>
              <c:f>'Graphs - Average SSI'!$H$14</c:f>
              <c:strCache>
                <c:ptCount val="1"/>
                <c:pt idx="0">
                  <c:v>BeNeLux + Denmark</c:v>
                </c:pt>
              </c:strCache>
            </c:strRef>
          </c:tx>
          <c:spPr>
            <a:solidFill>
              <a:schemeClr val="accent6"/>
            </a:solidFill>
            <a:ln>
              <a:noFill/>
            </a:ln>
            <a:effectLst/>
          </c:spPr>
          <c:invertIfNegative val="0"/>
          <c:cat>
            <c:strRef>
              <c:f>'Graphs - Average SSI'!$I$8:$L$8</c:f>
              <c:strCache>
                <c:ptCount val="4"/>
                <c:pt idx="0">
                  <c:v>1979-1988</c:v>
                </c:pt>
                <c:pt idx="1">
                  <c:v>1989-1998</c:v>
                </c:pt>
                <c:pt idx="2">
                  <c:v>1999-2008</c:v>
                </c:pt>
                <c:pt idx="3">
                  <c:v>2009-2018</c:v>
                </c:pt>
              </c:strCache>
            </c:strRef>
          </c:cat>
          <c:val>
            <c:numRef>
              <c:f>'Graphs - Average SSI'!$I$14:$L$14</c:f>
              <c:numCache>
                <c:formatCode>#,##0.00</c:formatCode>
                <c:ptCount val="4"/>
                <c:pt idx="0">
                  <c:v>2.15</c:v>
                </c:pt>
                <c:pt idx="1">
                  <c:v>2.42</c:v>
                </c:pt>
                <c:pt idx="2">
                  <c:v>6.27</c:v>
                </c:pt>
                <c:pt idx="3">
                  <c:v>3.52</c:v>
                </c:pt>
              </c:numCache>
            </c:numRef>
          </c:val>
          <c:extLst>
            <c:ext xmlns:c16="http://schemas.microsoft.com/office/drawing/2014/chart" uri="{C3380CC4-5D6E-409C-BE32-E72D297353CC}">
              <c16:uniqueId val="{00000004-1D07-4034-8C90-82B54484AC02}"/>
            </c:ext>
          </c:extLst>
        </c:ser>
        <c:ser>
          <c:idx val="6"/>
          <c:order val="6"/>
          <c:tx>
            <c:strRef>
              <c:f>'Graphs - Average SSI'!$H$15</c:f>
              <c:strCache>
                <c:ptCount val="1"/>
                <c:pt idx="0">
                  <c:v>Scandinavia</c:v>
                </c:pt>
              </c:strCache>
            </c:strRef>
          </c:tx>
          <c:spPr>
            <a:solidFill>
              <a:schemeClr val="accent1">
                <a:lumMod val="60000"/>
              </a:schemeClr>
            </a:solidFill>
            <a:ln>
              <a:noFill/>
            </a:ln>
            <a:effectLst/>
          </c:spPr>
          <c:invertIfNegative val="0"/>
          <c:cat>
            <c:strRef>
              <c:f>'Graphs - Average SSI'!$I$8:$L$8</c:f>
              <c:strCache>
                <c:ptCount val="4"/>
                <c:pt idx="0">
                  <c:v>1979-1988</c:v>
                </c:pt>
                <c:pt idx="1">
                  <c:v>1989-1998</c:v>
                </c:pt>
                <c:pt idx="2">
                  <c:v>1999-2008</c:v>
                </c:pt>
                <c:pt idx="3">
                  <c:v>2009-2018</c:v>
                </c:pt>
              </c:strCache>
            </c:strRef>
          </c:cat>
          <c:val>
            <c:numRef>
              <c:f>'Graphs - Average SSI'!$I$15:$L$15</c:f>
              <c:numCache>
                <c:formatCode>#,##0.00</c:formatCode>
                <c:ptCount val="4"/>
                <c:pt idx="0">
                  <c:v>1.44</c:v>
                </c:pt>
                <c:pt idx="1">
                  <c:v>1.24</c:v>
                </c:pt>
                <c:pt idx="2">
                  <c:v>1.0900000000000001</c:v>
                </c:pt>
                <c:pt idx="3">
                  <c:v>1.21</c:v>
                </c:pt>
              </c:numCache>
            </c:numRef>
          </c:val>
          <c:extLst>
            <c:ext xmlns:c16="http://schemas.microsoft.com/office/drawing/2014/chart" uri="{C3380CC4-5D6E-409C-BE32-E72D297353CC}">
              <c16:uniqueId val="{00000005-1D07-4034-8C90-82B54484AC02}"/>
            </c:ext>
          </c:extLst>
        </c:ser>
        <c:ser>
          <c:idx val="7"/>
          <c:order val="7"/>
          <c:tx>
            <c:strRef>
              <c:f>'Graphs - Average SSI'!$H$16</c:f>
              <c:strCache>
                <c:ptCount val="1"/>
                <c:pt idx="0">
                  <c:v>Iberian Peninsula</c:v>
                </c:pt>
              </c:strCache>
            </c:strRef>
          </c:tx>
          <c:spPr>
            <a:solidFill>
              <a:schemeClr val="accent2">
                <a:lumMod val="60000"/>
              </a:schemeClr>
            </a:solidFill>
            <a:ln>
              <a:noFill/>
            </a:ln>
            <a:effectLst/>
          </c:spPr>
          <c:invertIfNegative val="0"/>
          <c:cat>
            <c:strRef>
              <c:f>'Graphs - Average SSI'!$I$8:$L$8</c:f>
              <c:strCache>
                <c:ptCount val="4"/>
                <c:pt idx="0">
                  <c:v>1979-1988</c:v>
                </c:pt>
                <c:pt idx="1">
                  <c:v>1989-1998</c:v>
                </c:pt>
                <c:pt idx="2">
                  <c:v>1999-2008</c:v>
                </c:pt>
                <c:pt idx="3">
                  <c:v>2009-2018</c:v>
                </c:pt>
              </c:strCache>
            </c:strRef>
          </c:cat>
          <c:val>
            <c:numRef>
              <c:f>'Graphs - Average SSI'!$I$16:$L$16</c:f>
              <c:numCache>
                <c:formatCode>#,##0.00</c:formatCode>
                <c:ptCount val="4"/>
                <c:pt idx="0">
                  <c:v>0.94</c:v>
                </c:pt>
                <c:pt idx="1">
                  <c:v>0</c:v>
                </c:pt>
                <c:pt idx="2">
                  <c:v>0.72699999999999998</c:v>
                </c:pt>
                <c:pt idx="3">
                  <c:v>0.66</c:v>
                </c:pt>
              </c:numCache>
            </c:numRef>
          </c:val>
          <c:extLst>
            <c:ext xmlns:c16="http://schemas.microsoft.com/office/drawing/2014/chart" uri="{C3380CC4-5D6E-409C-BE32-E72D297353CC}">
              <c16:uniqueId val="{00000006-1D07-4034-8C90-82B54484AC02}"/>
            </c:ext>
          </c:extLst>
        </c:ser>
        <c:dLbls>
          <c:showLegendKey val="0"/>
          <c:showVal val="0"/>
          <c:showCatName val="0"/>
          <c:showSerName val="0"/>
          <c:showPercent val="0"/>
          <c:showBubbleSize val="0"/>
        </c:dLbls>
        <c:gapWidth val="247"/>
        <c:axId val="40652800"/>
        <c:axId val="40654336"/>
      </c:barChart>
      <c:lineChart>
        <c:grouping val="standard"/>
        <c:varyColors val="0"/>
        <c:ser>
          <c:idx val="0"/>
          <c:order val="0"/>
          <c:tx>
            <c:strRef>
              <c:f>'Graphs - Average SSI'!$H$9</c:f>
              <c:strCache>
                <c:ptCount val="1"/>
                <c:pt idx="0">
                  <c:v>Europe (XWS Domain)</c:v>
                </c:pt>
              </c:strCache>
            </c:strRef>
          </c:tx>
          <c:spPr>
            <a:ln w="28575" cap="rnd">
              <a:solidFill>
                <a:schemeClr val="accent1"/>
              </a:solidFill>
              <a:round/>
            </a:ln>
            <a:effectLst/>
          </c:spPr>
          <c:marker>
            <c:symbol val="none"/>
          </c:marker>
          <c:cat>
            <c:strRef>
              <c:f>'Graphs - Average SSI'!$I$8:$L$8</c:f>
              <c:strCache>
                <c:ptCount val="4"/>
                <c:pt idx="0">
                  <c:v>1979-1988</c:v>
                </c:pt>
                <c:pt idx="1">
                  <c:v>1989-1998</c:v>
                </c:pt>
                <c:pt idx="2">
                  <c:v>1999-2008</c:v>
                </c:pt>
                <c:pt idx="3">
                  <c:v>2009-2018</c:v>
                </c:pt>
              </c:strCache>
            </c:strRef>
          </c:cat>
          <c:val>
            <c:numRef>
              <c:f>'Graphs - Average SSI'!$I$9:$L$9</c:f>
              <c:numCache>
                <c:formatCode>#,##0.00</c:formatCode>
                <c:ptCount val="4"/>
                <c:pt idx="0">
                  <c:v>2.78</c:v>
                </c:pt>
                <c:pt idx="1">
                  <c:v>3.7</c:v>
                </c:pt>
                <c:pt idx="2">
                  <c:v>3.39</c:v>
                </c:pt>
                <c:pt idx="3">
                  <c:v>2.17</c:v>
                </c:pt>
              </c:numCache>
            </c:numRef>
          </c:val>
          <c:smooth val="0"/>
          <c:extLst>
            <c:ext xmlns:c16="http://schemas.microsoft.com/office/drawing/2014/chart" uri="{C3380CC4-5D6E-409C-BE32-E72D297353CC}">
              <c16:uniqueId val="{00000007-1D07-4034-8C90-82B54484AC02}"/>
            </c:ext>
          </c:extLst>
        </c:ser>
        <c:dLbls>
          <c:showLegendKey val="0"/>
          <c:showVal val="0"/>
          <c:showCatName val="0"/>
          <c:showSerName val="0"/>
          <c:showPercent val="0"/>
          <c:showBubbleSize val="0"/>
        </c:dLbls>
        <c:marker val="1"/>
        <c:smooth val="0"/>
        <c:axId val="828436792"/>
        <c:axId val="828435480"/>
      </c:lineChart>
      <c:catAx>
        <c:axId val="406528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4336"/>
        <c:crosses val="autoZero"/>
        <c:auto val="1"/>
        <c:lblAlgn val="ctr"/>
        <c:lblOffset val="100"/>
        <c:noMultiLvlLbl val="0"/>
      </c:catAx>
      <c:valAx>
        <c:axId val="40654336"/>
        <c:scaling>
          <c:orientation val="minMax"/>
          <c:max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ETCs per country / region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2800"/>
        <c:crosses val="autoZero"/>
        <c:crossBetween val="between"/>
      </c:valAx>
      <c:valAx>
        <c:axId val="828435480"/>
        <c:scaling>
          <c:orientation val="minMax"/>
          <c:max val="10"/>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36792"/>
        <c:crosses val="max"/>
        <c:crossBetween val="between"/>
      </c:valAx>
      <c:catAx>
        <c:axId val="828436792"/>
        <c:scaling>
          <c:orientation val="minMax"/>
        </c:scaling>
        <c:delete val="1"/>
        <c:axPos val="b"/>
        <c:numFmt formatCode="General" sourceLinked="1"/>
        <c:majorTickMark val="none"/>
        <c:minorTickMark val="none"/>
        <c:tickLblPos val="nextTo"/>
        <c:crossAx val="82843548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effectLst/>
              </a:rPr>
              <a:t>Mean severity of extreme windstorms &gt; 25.0 m/s (SSI calculated over the region)</a:t>
            </a:r>
            <a:br>
              <a:rPr lang="en-GB" sz="1400" b="1" i="0" u="none" strike="noStrike" baseline="0">
                <a:effectLst/>
              </a:rPr>
            </a:br>
            <a:r>
              <a:rPr lang="en-GB" sz="1400" b="1" i="0" baseline="0">
                <a:effectLst/>
              </a:rPr>
              <a:t>values x10^7 (ERA5) </a:t>
            </a:r>
            <a:endParaRPr lang="en-GB" sz="14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'Graphs - Average SSI'!$O$10</c:f>
              <c:strCache>
                <c:ptCount val="1"/>
                <c:pt idx="0">
                  <c:v>UK</c:v>
                </c:pt>
              </c:strCache>
            </c:strRef>
          </c:tx>
          <c:spPr>
            <a:solidFill>
              <a:schemeClr val="accent2"/>
            </a:solidFill>
            <a:ln>
              <a:noFill/>
            </a:ln>
            <a:effectLst/>
          </c:spPr>
          <c:invertIfNegative val="0"/>
          <c:cat>
            <c:strRef>
              <c:f>'Graphs - Average SSI'!$P$8:$S$8</c:f>
              <c:strCache>
                <c:ptCount val="4"/>
                <c:pt idx="0">
                  <c:v>1979-1988</c:v>
                </c:pt>
                <c:pt idx="1">
                  <c:v>1989-1998</c:v>
                </c:pt>
                <c:pt idx="2">
                  <c:v>1999-2008</c:v>
                </c:pt>
                <c:pt idx="3">
                  <c:v>2009-2018</c:v>
                </c:pt>
              </c:strCache>
            </c:strRef>
          </c:cat>
          <c:val>
            <c:numRef>
              <c:f>'Graphs - Average SSI'!$P$10:$S$10</c:f>
              <c:numCache>
                <c:formatCode>#,##0.00</c:formatCode>
                <c:ptCount val="4"/>
                <c:pt idx="0">
                  <c:v>0.98</c:v>
                </c:pt>
                <c:pt idx="1">
                  <c:v>0</c:v>
                </c:pt>
                <c:pt idx="2">
                  <c:v>2.37</c:v>
                </c:pt>
                <c:pt idx="3">
                  <c:v>0</c:v>
                </c:pt>
              </c:numCache>
            </c:numRef>
          </c:val>
          <c:extLst>
            <c:ext xmlns:c16="http://schemas.microsoft.com/office/drawing/2014/chart" uri="{C3380CC4-5D6E-409C-BE32-E72D297353CC}">
              <c16:uniqueId val="{00000000-12C1-4388-AEAD-3029348759C9}"/>
            </c:ext>
          </c:extLst>
        </c:ser>
        <c:ser>
          <c:idx val="2"/>
          <c:order val="2"/>
          <c:tx>
            <c:strRef>
              <c:f>'Graphs - Average SSI'!$O$11</c:f>
              <c:strCache>
                <c:ptCount val="1"/>
                <c:pt idx="0">
                  <c:v>France</c:v>
                </c:pt>
              </c:strCache>
            </c:strRef>
          </c:tx>
          <c:spPr>
            <a:solidFill>
              <a:schemeClr val="accent3"/>
            </a:solidFill>
            <a:ln>
              <a:noFill/>
            </a:ln>
            <a:effectLst/>
          </c:spPr>
          <c:invertIfNegative val="0"/>
          <c:cat>
            <c:strRef>
              <c:f>'Graphs - Average SSI'!$P$8:$S$8</c:f>
              <c:strCache>
                <c:ptCount val="4"/>
                <c:pt idx="0">
                  <c:v>1979-1988</c:v>
                </c:pt>
                <c:pt idx="1">
                  <c:v>1989-1998</c:v>
                </c:pt>
                <c:pt idx="2">
                  <c:v>1999-2008</c:v>
                </c:pt>
                <c:pt idx="3">
                  <c:v>2009-2018</c:v>
                </c:pt>
              </c:strCache>
            </c:strRef>
          </c:cat>
          <c:val>
            <c:numRef>
              <c:f>'Graphs - Average SSI'!$P$11:$S$11</c:f>
              <c:numCache>
                <c:formatCode>#,##0.00</c:formatCode>
                <c:ptCount val="4"/>
                <c:pt idx="0">
                  <c:v>0</c:v>
                </c:pt>
                <c:pt idx="1">
                  <c:v>0</c:v>
                </c:pt>
                <c:pt idx="2">
                  <c:v>0</c:v>
                </c:pt>
                <c:pt idx="3">
                  <c:v>0</c:v>
                </c:pt>
              </c:numCache>
            </c:numRef>
          </c:val>
          <c:extLst>
            <c:ext xmlns:c16="http://schemas.microsoft.com/office/drawing/2014/chart" uri="{C3380CC4-5D6E-409C-BE32-E72D297353CC}">
              <c16:uniqueId val="{00000001-12C1-4388-AEAD-3029348759C9}"/>
            </c:ext>
          </c:extLst>
        </c:ser>
        <c:ser>
          <c:idx val="3"/>
          <c:order val="3"/>
          <c:tx>
            <c:strRef>
              <c:f>'Graphs - Average SSI'!$O$12</c:f>
              <c:strCache>
                <c:ptCount val="1"/>
                <c:pt idx="0">
                  <c:v>Germany</c:v>
                </c:pt>
              </c:strCache>
            </c:strRef>
          </c:tx>
          <c:spPr>
            <a:solidFill>
              <a:schemeClr val="accent4"/>
            </a:solidFill>
            <a:ln>
              <a:noFill/>
            </a:ln>
            <a:effectLst/>
          </c:spPr>
          <c:invertIfNegative val="0"/>
          <c:cat>
            <c:strRef>
              <c:f>'Graphs - Average SSI'!$P$8:$S$8</c:f>
              <c:strCache>
                <c:ptCount val="4"/>
                <c:pt idx="0">
                  <c:v>1979-1988</c:v>
                </c:pt>
                <c:pt idx="1">
                  <c:v>1989-1998</c:v>
                </c:pt>
                <c:pt idx="2">
                  <c:v>1999-2008</c:v>
                </c:pt>
                <c:pt idx="3">
                  <c:v>2009-2018</c:v>
                </c:pt>
              </c:strCache>
            </c:strRef>
          </c:cat>
          <c:val>
            <c:numRef>
              <c:f>'Graphs - Average SSI'!$P$12:$S$12</c:f>
              <c:numCache>
                <c:formatCode>#,##0.00</c:formatCode>
                <c:ptCount val="4"/>
                <c:pt idx="0">
                  <c:v>0</c:v>
                </c:pt>
                <c:pt idx="1">
                  <c:v>0</c:v>
                </c:pt>
                <c:pt idx="2">
                  <c:v>0</c:v>
                </c:pt>
                <c:pt idx="3">
                  <c:v>0</c:v>
                </c:pt>
              </c:numCache>
            </c:numRef>
          </c:val>
          <c:extLst>
            <c:ext xmlns:c16="http://schemas.microsoft.com/office/drawing/2014/chart" uri="{C3380CC4-5D6E-409C-BE32-E72D297353CC}">
              <c16:uniqueId val="{00000002-12C1-4388-AEAD-3029348759C9}"/>
            </c:ext>
          </c:extLst>
        </c:ser>
        <c:ser>
          <c:idx val="4"/>
          <c:order val="4"/>
          <c:tx>
            <c:strRef>
              <c:f>'Graphs - Average SSI'!$O$13</c:f>
              <c:strCache>
                <c:ptCount val="1"/>
                <c:pt idx="0">
                  <c:v>BeNeLux</c:v>
                </c:pt>
              </c:strCache>
            </c:strRef>
          </c:tx>
          <c:spPr>
            <a:solidFill>
              <a:schemeClr val="accent5"/>
            </a:solidFill>
            <a:ln>
              <a:noFill/>
            </a:ln>
            <a:effectLst/>
          </c:spPr>
          <c:invertIfNegative val="0"/>
          <c:cat>
            <c:strRef>
              <c:f>'Graphs - Average SSI'!$P$8:$S$8</c:f>
              <c:strCache>
                <c:ptCount val="4"/>
                <c:pt idx="0">
                  <c:v>1979-1988</c:v>
                </c:pt>
                <c:pt idx="1">
                  <c:v>1989-1998</c:v>
                </c:pt>
                <c:pt idx="2">
                  <c:v>1999-2008</c:v>
                </c:pt>
                <c:pt idx="3">
                  <c:v>2009-2018</c:v>
                </c:pt>
              </c:strCache>
            </c:strRef>
          </c:cat>
          <c:val>
            <c:numRef>
              <c:f>'Graphs - Average SSI'!$P$13:$S$13</c:f>
              <c:numCache>
                <c:formatCode>#,##0.00</c:formatCode>
                <c:ptCount val="4"/>
                <c:pt idx="0">
                  <c:v>0</c:v>
                </c:pt>
                <c:pt idx="1">
                  <c:v>0.94899999999999995</c:v>
                </c:pt>
                <c:pt idx="2">
                  <c:v>0</c:v>
                </c:pt>
                <c:pt idx="3">
                  <c:v>0</c:v>
                </c:pt>
              </c:numCache>
            </c:numRef>
          </c:val>
          <c:extLst>
            <c:ext xmlns:c16="http://schemas.microsoft.com/office/drawing/2014/chart" uri="{C3380CC4-5D6E-409C-BE32-E72D297353CC}">
              <c16:uniqueId val="{00000003-12C1-4388-AEAD-3029348759C9}"/>
            </c:ext>
          </c:extLst>
        </c:ser>
        <c:ser>
          <c:idx val="5"/>
          <c:order val="5"/>
          <c:tx>
            <c:strRef>
              <c:f>'Graphs - Average SSI'!$O$14</c:f>
              <c:strCache>
                <c:ptCount val="1"/>
                <c:pt idx="0">
                  <c:v>BeNeLux + Denmark</c:v>
                </c:pt>
              </c:strCache>
            </c:strRef>
          </c:tx>
          <c:spPr>
            <a:solidFill>
              <a:schemeClr val="accent6"/>
            </a:solidFill>
            <a:ln>
              <a:noFill/>
            </a:ln>
            <a:effectLst/>
          </c:spPr>
          <c:invertIfNegative val="0"/>
          <c:cat>
            <c:strRef>
              <c:f>'Graphs - Average SSI'!$P$8:$S$8</c:f>
              <c:strCache>
                <c:ptCount val="4"/>
                <c:pt idx="0">
                  <c:v>1979-1988</c:v>
                </c:pt>
                <c:pt idx="1">
                  <c:v>1989-1998</c:v>
                </c:pt>
                <c:pt idx="2">
                  <c:v>1999-2008</c:v>
                </c:pt>
                <c:pt idx="3">
                  <c:v>2009-2018</c:v>
                </c:pt>
              </c:strCache>
            </c:strRef>
          </c:cat>
          <c:val>
            <c:numRef>
              <c:f>'Graphs - Average SSI'!$P$14:$S$14</c:f>
              <c:numCache>
                <c:formatCode>#,##0.00</c:formatCode>
                <c:ptCount val="4"/>
                <c:pt idx="0">
                  <c:v>0</c:v>
                </c:pt>
                <c:pt idx="1">
                  <c:v>0.94899999999999995</c:v>
                </c:pt>
                <c:pt idx="2">
                  <c:v>2.12</c:v>
                </c:pt>
                <c:pt idx="3">
                  <c:v>0</c:v>
                </c:pt>
              </c:numCache>
            </c:numRef>
          </c:val>
          <c:extLst>
            <c:ext xmlns:c16="http://schemas.microsoft.com/office/drawing/2014/chart" uri="{C3380CC4-5D6E-409C-BE32-E72D297353CC}">
              <c16:uniqueId val="{00000004-12C1-4388-AEAD-3029348759C9}"/>
            </c:ext>
          </c:extLst>
        </c:ser>
        <c:ser>
          <c:idx val="6"/>
          <c:order val="6"/>
          <c:tx>
            <c:strRef>
              <c:f>'Graphs - Average SSI'!$O$15</c:f>
              <c:strCache>
                <c:ptCount val="1"/>
                <c:pt idx="0">
                  <c:v>Scandinavia</c:v>
                </c:pt>
              </c:strCache>
            </c:strRef>
          </c:tx>
          <c:spPr>
            <a:solidFill>
              <a:schemeClr val="accent1">
                <a:lumMod val="60000"/>
              </a:schemeClr>
            </a:solidFill>
            <a:ln>
              <a:noFill/>
            </a:ln>
            <a:effectLst/>
          </c:spPr>
          <c:invertIfNegative val="0"/>
          <c:cat>
            <c:strRef>
              <c:f>'Graphs - Average SSI'!$P$8:$S$8</c:f>
              <c:strCache>
                <c:ptCount val="4"/>
                <c:pt idx="0">
                  <c:v>1979-1988</c:v>
                </c:pt>
                <c:pt idx="1">
                  <c:v>1989-1998</c:v>
                </c:pt>
                <c:pt idx="2">
                  <c:v>1999-2008</c:v>
                </c:pt>
                <c:pt idx="3">
                  <c:v>2009-2018</c:v>
                </c:pt>
              </c:strCache>
            </c:strRef>
          </c:cat>
          <c:val>
            <c:numRef>
              <c:f>'Graphs - Average SSI'!$P$15:$S$15</c:f>
              <c:numCache>
                <c:formatCode>#,##0.00</c:formatCode>
                <c:ptCount val="4"/>
                <c:pt idx="0">
                  <c:v>0.73899999999999999</c:v>
                </c:pt>
                <c:pt idx="1">
                  <c:v>1.65</c:v>
                </c:pt>
                <c:pt idx="2">
                  <c:v>0</c:v>
                </c:pt>
                <c:pt idx="3">
                  <c:v>0.59199999999999997</c:v>
                </c:pt>
              </c:numCache>
            </c:numRef>
          </c:val>
          <c:extLst>
            <c:ext xmlns:c16="http://schemas.microsoft.com/office/drawing/2014/chart" uri="{C3380CC4-5D6E-409C-BE32-E72D297353CC}">
              <c16:uniqueId val="{00000005-12C1-4388-AEAD-3029348759C9}"/>
            </c:ext>
          </c:extLst>
        </c:ser>
        <c:ser>
          <c:idx val="7"/>
          <c:order val="7"/>
          <c:tx>
            <c:strRef>
              <c:f>'Graphs - Average SSI'!$O$16</c:f>
              <c:strCache>
                <c:ptCount val="1"/>
                <c:pt idx="0">
                  <c:v>Iberian Peninsula</c:v>
                </c:pt>
              </c:strCache>
            </c:strRef>
          </c:tx>
          <c:spPr>
            <a:solidFill>
              <a:schemeClr val="accent2">
                <a:lumMod val="60000"/>
              </a:schemeClr>
            </a:solidFill>
            <a:ln>
              <a:noFill/>
            </a:ln>
            <a:effectLst/>
          </c:spPr>
          <c:invertIfNegative val="0"/>
          <c:cat>
            <c:strRef>
              <c:f>'Graphs - Average SSI'!$P$8:$S$8</c:f>
              <c:strCache>
                <c:ptCount val="4"/>
                <c:pt idx="0">
                  <c:v>1979-1988</c:v>
                </c:pt>
                <c:pt idx="1">
                  <c:v>1989-1998</c:v>
                </c:pt>
                <c:pt idx="2">
                  <c:v>1999-2008</c:v>
                </c:pt>
                <c:pt idx="3">
                  <c:v>2009-2018</c:v>
                </c:pt>
              </c:strCache>
            </c:strRef>
          </c:cat>
          <c:val>
            <c:numRef>
              <c:f>'Graphs - Average SSI'!$P$16:$S$16</c:f>
              <c:numCache>
                <c:formatCode>#,##0.00</c:formatCode>
                <c:ptCount val="4"/>
                <c:pt idx="0">
                  <c:v>0</c:v>
                </c:pt>
                <c:pt idx="1">
                  <c:v>0</c:v>
                </c:pt>
                <c:pt idx="2">
                  <c:v>0</c:v>
                </c:pt>
                <c:pt idx="3">
                  <c:v>0</c:v>
                </c:pt>
              </c:numCache>
            </c:numRef>
          </c:val>
          <c:extLst>
            <c:ext xmlns:c16="http://schemas.microsoft.com/office/drawing/2014/chart" uri="{C3380CC4-5D6E-409C-BE32-E72D297353CC}">
              <c16:uniqueId val="{00000006-12C1-4388-AEAD-3029348759C9}"/>
            </c:ext>
          </c:extLst>
        </c:ser>
        <c:dLbls>
          <c:showLegendKey val="0"/>
          <c:showVal val="0"/>
          <c:showCatName val="0"/>
          <c:showSerName val="0"/>
          <c:showPercent val="0"/>
          <c:showBubbleSize val="0"/>
        </c:dLbls>
        <c:gapWidth val="247"/>
        <c:axId val="40652800"/>
        <c:axId val="40654336"/>
      </c:barChart>
      <c:lineChart>
        <c:grouping val="standard"/>
        <c:varyColors val="0"/>
        <c:ser>
          <c:idx val="0"/>
          <c:order val="0"/>
          <c:tx>
            <c:strRef>
              <c:f>'Graphs - Average SSI'!$O$9</c:f>
              <c:strCache>
                <c:ptCount val="1"/>
                <c:pt idx="0">
                  <c:v>Europe (XWS Domain)</c:v>
                </c:pt>
              </c:strCache>
            </c:strRef>
          </c:tx>
          <c:spPr>
            <a:ln w="28575" cap="rnd">
              <a:solidFill>
                <a:schemeClr val="accent1"/>
              </a:solidFill>
              <a:round/>
            </a:ln>
            <a:effectLst/>
          </c:spPr>
          <c:marker>
            <c:symbol val="none"/>
          </c:marker>
          <c:cat>
            <c:strRef>
              <c:f>'Graphs - Average SSI'!$P$8:$S$8</c:f>
              <c:strCache>
                <c:ptCount val="4"/>
                <c:pt idx="0">
                  <c:v>1979-1988</c:v>
                </c:pt>
                <c:pt idx="1">
                  <c:v>1989-1998</c:v>
                </c:pt>
                <c:pt idx="2">
                  <c:v>1999-2008</c:v>
                </c:pt>
                <c:pt idx="3">
                  <c:v>2009-2018</c:v>
                </c:pt>
              </c:strCache>
            </c:strRef>
          </c:cat>
          <c:val>
            <c:numRef>
              <c:f>'Graphs - Average SSI'!$P$9:$S$9</c:f>
              <c:numCache>
                <c:formatCode>#,##0.00</c:formatCode>
                <c:ptCount val="4"/>
                <c:pt idx="0">
                  <c:v>1.07</c:v>
                </c:pt>
                <c:pt idx="1">
                  <c:v>3.03</c:v>
                </c:pt>
                <c:pt idx="2">
                  <c:v>2.59</c:v>
                </c:pt>
                <c:pt idx="3">
                  <c:v>5.92</c:v>
                </c:pt>
              </c:numCache>
            </c:numRef>
          </c:val>
          <c:smooth val="0"/>
          <c:extLst>
            <c:ext xmlns:c16="http://schemas.microsoft.com/office/drawing/2014/chart" uri="{C3380CC4-5D6E-409C-BE32-E72D297353CC}">
              <c16:uniqueId val="{00000007-12C1-4388-AEAD-3029348759C9}"/>
            </c:ext>
          </c:extLst>
        </c:ser>
        <c:dLbls>
          <c:showLegendKey val="0"/>
          <c:showVal val="0"/>
          <c:showCatName val="0"/>
          <c:showSerName val="0"/>
          <c:showPercent val="0"/>
          <c:showBubbleSize val="0"/>
        </c:dLbls>
        <c:marker val="1"/>
        <c:smooth val="0"/>
        <c:axId val="828436792"/>
        <c:axId val="828435480"/>
      </c:lineChart>
      <c:catAx>
        <c:axId val="406528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4336"/>
        <c:crosses val="autoZero"/>
        <c:auto val="1"/>
        <c:lblAlgn val="ctr"/>
        <c:lblOffset val="100"/>
        <c:noMultiLvlLbl val="0"/>
      </c:catAx>
      <c:valAx>
        <c:axId val="40654336"/>
        <c:scaling>
          <c:orientation val="minMax"/>
          <c:max val="1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Number of ETCs per country / region</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52800"/>
        <c:crosses val="autoZero"/>
        <c:crossBetween val="between"/>
      </c:valAx>
      <c:valAx>
        <c:axId val="828435480"/>
        <c:scaling>
          <c:orientation val="minMax"/>
          <c:max val="10"/>
          <c:min val="0"/>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436792"/>
        <c:crosses val="max"/>
        <c:crossBetween val="between"/>
      </c:valAx>
      <c:catAx>
        <c:axId val="828436792"/>
        <c:scaling>
          <c:orientation val="minMax"/>
        </c:scaling>
        <c:delete val="1"/>
        <c:axPos val="b"/>
        <c:numFmt formatCode="General" sourceLinked="1"/>
        <c:majorTickMark val="none"/>
        <c:minorTickMark val="none"/>
        <c:tickLblPos val="nextTo"/>
        <c:crossAx val="828435480"/>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44" l="0.7000000000000004" r="0.7000000000000004" t="0.75000000000000044" header="0.30000000000000021" footer="0.30000000000000021"/>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714375</xdr:colOff>
      <xdr:row>28</xdr:row>
      <xdr:rowOff>250032</xdr:rowOff>
    </xdr:from>
    <xdr:to>
      <xdr:col>8</xdr:col>
      <xdr:colOff>321469</xdr:colOff>
      <xdr:row>51</xdr:row>
      <xdr:rowOff>142877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750094</xdr:colOff>
      <xdr:row>29</xdr:row>
      <xdr:rowOff>0</xdr:rowOff>
    </xdr:from>
    <xdr:to>
      <xdr:col>18</xdr:col>
      <xdr:colOff>83345</xdr:colOff>
      <xdr:row>51</xdr:row>
      <xdr:rowOff>154782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488157</xdr:colOff>
      <xdr:row>19</xdr:row>
      <xdr:rowOff>142874</xdr:rowOff>
    </xdr:from>
    <xdr:to>
      <xdr:col>8</xdr:col>
      <xdr:colOff>95251</xdr:colOff>
      <xdr:row>43</xdr:row>
      <xdr:rowOff>71437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476249</xdr:colOff>
      <xdr:row>19</xdr:row>
      <xdr:rowOff>166687</xdr:rowOff>
    </xdr:from>
    <xdr:to>
      <xdr:col>17</xdr:col>
      <xdr:colOff>595312</xdr:colOff>
      <xdr:row>43</xdr:row>
      <xdr:rowOff>95250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428625</xdr:colOff>
      <xdr:row>20</xdr:row>
      <xdr:rowOff>11906</xdr:rowOff>
    </xdr:from>
    <xdr:to>
      <xdr:col>31</xdr:col>
      <xdr:colOff>297656</xdr:colOff>
      <xdr:row>43</xdr:row>
      <xdr:rowOff>130969</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178594</xdr:colOff>
      <xdr:row>18</xdr:row>
      <xdr:rowOff>166688</xdr:rowOff>
    </xdr:from>
    <xdr:to>
      <xdr:col>7</xdr:col>
      <xdr:colOff>1500188</xdr:colOff>
      <xdr:row>42</xdr:row>
      <xdr:rowOff>95251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190498</xdr:colOff>
      <xdr:row>19</xdr:row>
      <xdr:rowOff>35720</xdr:rowOff>
    </xdr:from>
    <xdr:to>
      <xdr:col>17</xdr:col>
      <xdr:colOff>309561</xdr:colOff>
      <xdr:row>42</xdr:row>
      <xdr:rowOff>154783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119062</xdr:colOff>
      <xdr:row>19</xdr:row>
      <xdr:rowOff>35720</xdr:rowOff>
    </xdr:from>
    <xdr:to>
      <xdr:col>30</xdr:col>
      <xdr:colOff>595312</xdr:colOff>
      <xdr:row>42</xdr:row>
      <xdr:rowOff>154783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6"/>
  <sheetViews>
    <sheetView tabSelected="1" zoomScale="80" zoomScaleNormal="80" workbookViewId="0">
      <selection activeCell="A28" sqref="A28:T29"/>
    </sheetView>
  </sheetViews>
  <sheetFormatPr defaultRowHeight="15" x14ac:dyDescent="0.25"/>
  <cols>
    <col min="1" max="1" width="31.28515625" bestFit="1" customWidth="1"/>
    <col min="2" max="7" width="11.7109375" customWidth="1"/>
    <col min="8" max="8" width="25.7109375" customWidth="1"/>
    <col min="9" max="14" width="11.7109375" customWidth="1"/>
    <col min="15" max="15" width="25.7109375" customWidth="1"/>
    <col min="16" max="20" width="11.7109375" customWidth="1"/>
  </cols>
  <sheetData>
    <row r="1" spans="1:14" ht="24.75" customHeight="1" x14ac:dyDescent="0.25">
      <c r="A1" s="17" t="s">
        <v>19</v>
      </c>
      <c r="B1" s="17"/>
      <c r="C1" s="17"/>
      <c r="D1" s="17"/>
      <c r="E1" s="17"/>
      <c r="F1" s="17"/>
    </row>
    <row r="2" spans="1:14" ht="21" x14ac:dyDescent="0.35">
      <c r="A2" s="18" t="s">
        <v>7</v>
      </c>
      <c r="B2" s="18"/>
      <c r="C2" s="18"/>
      <c r="D2" s="18"/>
      <c r="E2" s="18"/>
      <c r="F2" s="18"/>
      <c r="M2" s="2"/>
      <c r="N2" s="2"/>
    </row>
    <row r="4" spans="1:14" ht="21" customHeight="1" x14ac:dyDescent="0.25">
      <c r="A4" s="18" t="s">
        <v>25</v>
      </c>
      <c r="B4" s="18"/>
      <c r="C4" s="18"/>
      <c r="D4" s="18"/>
      <c r="E4" s="18"/>
      <c r="F4" s="18"/>
      <c r="G4" s="11"/>
      <c r="H4" s="11"/>
      <c r="I4" s="11"/>
      <c r="J4" s="11"/>
    </row>
    <row r="6" spans="1:14" ht="15.95" customHeight="1" x14ac:dyDescent="0.25">
      <c r="A6" s="3" t="s">
        <v>0</v>
      </c>
      <c r="B6" s="3" t="s">
        <v>9</v>
      </c>
      <c r="C6" s="3" t="s">
        <v>10</v>
      </c>
      <c r="D6" s="3" t="s">
        <v>11</v>
      </c>
      <c r="E6" s="3" t="s">
        <v>15</v>
      </c>
      <c r="F6" s="7" t="s">
        <v>16</v>
      </c>
    </row>
    <row r="7" spans="1:14" ht="15.95" customHeight="1" x14ac:dyDescent="0.25">
      <c r="A7" s="4" t="s">
        <v>8</v>
      </c>
      <c r="B7" s="5">
        <v>1106</v>
      </c>
      <c r="C7" s="5">
        <v>1100</v>
      </c>
      <c r="D7" s="5">
        <v>1070</v>
      </c>
      <c r="E7" s="5">
        <v>1385</v>
      </c>
      <c r="F7" s="8">
        <v>4661</v>
      </c>
    </row>
    <row r="8" spans="1:14" ht="15.95" customHeight="1" x14ac:dyDescent="0.25">
      <c r="A8" s="4" t="s">
        <v>1</v>
      </c>
      <c r="B8" s="5">
        <v>311</v>
      </c>
      <c r="C8" s="5">
        <v>286</v>
      </c>
      <c r="D8" s="5">
        <v>293</v>
      </c>
      <c r="E8" s="5">
        <v>370</v>
      </c>
      <c r="F8" s="8">
        <v>1260</v>
      </c>
    </row>
    <row r="9" spans="1:14" ht="15.95" customHeight="1" x14ac:dyDescent="0.25">
      <c r="A9" s="4" t="s">
        <v>2</v>
      </c>
      <c r="B9" s="5">
        <v>230</v>
      </c>
      <c r="C9" s="5">
        <v>203</v>
      </c>
      <c r="D9" s="5">
        <v>211</v>
      </c>
      <c r="E9" s="5">
        <v>272</v>
      </c>
      <c r="F9" s="8">
        <v>916</v>
      </c>
    </row>
    <row r="10" spans="1:14" ht="15.95" customHeight="1" x14ac:dyDescent="0.25">
      <c r="A10" s="4" t="s">
        <v>3</v>
      </c>
      <c r="B10" s="5">
        <v>140</v>
      </c>
      <c r="C10" s="5">
        <v>131</v>
      </c>
      <c r="D10" s="5">
        <v>140</v>
      </c>
      <c r="E10" s="5">
        <v>168</v>
      </c>
      <c r="F10" s="8">
        <v>579</v>
      </c>
    </row>
    <row r="11" spans="1:14" s="16" customFormat="1" ht="15.95" customHeight="1" x14ac:dyDescent="0.25">
      <c r="A11" s="4" t="s">
        <v>17</v>
      </c>
      <c r="B11" s="5">
        <v>88</v>
      </c>
      <c r="C11" s="5">
        <v>60</v>
      </c>
      <c r="D11" s="5">
        <v>69</v>
      </c>
      <c r="E11" s="5">
        <v>85</v>
      </c>
      <c r="F11" s="8">
        <v>302</v>
      </c>
    </row>
    <row r="12" spans="1:14" ht="15.95" customHeight="1" x14ac:dyDescent="0.25">
      <c r="A12" s="4" t="s">
        <v>18</v>
      </c>
      <c r="B12" s="5">
        <v>186</v>
      </c>
      <c r="C12" s="5">
        <v>151</v>
      </c>
      <c r="D12" s="5">
        <v>151</v>
      </c>
      <c r="E12" s="5">
        <v>195</v>
      </c>
      <c r="F12" s="8">
        <v>683</v>
      </c>
    </row>
    <row r="13" spans="1:14" ht="15.95" customHeight="1" x14ac:dyDescent="0.25">
      <c r="A13" s="4" t="s">
        <v>4</v>
      </c>
      <c r="B13" s="5">
        <v>546</v>
      </c>
      <c r="C13" s="5">
        <v>593</v>
      </c>
      <c r="D13" s="5">
        <v>527</v>
      </c>
      <c r="E13" s="5">
        <v>678</v>
      </c>
      <c r="F13" s="8">
        <v>2344</v>
      </c>
    </row>
    <row r="14" spans="1:14" ht="15.95" customHeight="1" x14ac:dyDescent="0.25">
      <c r="A14" s="4" t="s">
        <v>5</v>
      </c>
      <c r="B14" s="5">
        <v>167</v>
      </c>
      <c r="C14" s="5">
        <v>165</v>
      </c>
      <c r="D14" s="5">
        <v>171</v>
      </c>
      <c r="E14" s="5">
        <v>245</v>
      </c>
      <c r="F14" s="8">
        <v>748</v>
      </c>
    </row>
    <row r="16" spans="1:14" ht="21" customHeight="1" x14ac:dyDescent="0.25">
      <c r="A16" s="18" t="s">
        <v>26</v>
      </c>
      <c r="B16" s="18"/>
      <c r="C16" s="18"/>
      <c r="D16" s="18"/>
      <c r="E16" s="18"/>
      <c r="F16" s="18"/>
      <c r="G16" s="12"/>
      <c r="H16" s="12"/>
      <c r="I16" s="12"/>
      <c r="J16" s="12"/>
    </row>
    <row r="18" spans="1:20" ht="15.75" x14ac:dyDescent="0.25">
      <c r="A18" s="3" t="s">
        <v>0</v>
      </c>
      <c r="B18" s="3" t="s">
        <v>9</v>
      </c>
      <c r="C18" s="3" t="s">
        <v>10</v>
      </c>
      <c r="D18" s="3" t="s">
        <v>11</v>
      </c>
      <c r="E18" s="3" t="s">
        <v>15</v>
      </c>
      <c r="F18" s="7" t="s">
        <v>16</v>
      </c>
    </row>
    <row r="19" spans="1:20" ht="15.75" x14ac:dyDescent="0.25">
      <c r="A19" s="4" t="s">
        <v>8</v>
      </c>
      <c r="B19" s="5">
        <v>588</v>
      </c>
      <c r="C19" s="5">
        <v>593</v>
      </c>
      <c r="D19" s="5">
        <v>549</v>
      </c>
      <c r="E19" s="5">
        <v>649</v>
      </c>
      <c r="F19" s="8">
        <v>2379</v>
      </c>
    </row>
    <row r="20" spans="1:20" ht="15.75" x14ac:dyDescent="0.25">
      <c r="A20" s="4" t="s">
        <v>1</v>
      </c>
      <c r="B20" s="5">
        <v>69</v>
      </c>
      <c r="C20" s="5">
        <v>50</v>
      </c>
      <c r="D20" s="5">
        <v>66</v>
      </c>
      <c r="E20" s="5">
        <v>71</v>
      </c>
      <c r="F20" s="8">
        <v>256</v>
      </c>
    </row>
    <row r="21" spans="1:20" ht="15.75" x14ac:dyDescent="0.25">
      <c r="A21" s="4" t="s">
        <v>2</v>
      </c>
      <c r="B21" s="5">
        <v>88</v>
      </c>
      <c r="C21" s="5">
        <v>81</v>
      </c>
      <c r="D21" s="5">
        <v>71</v>
      </c>
      <c r="E21" s="5">
        <v>98</v>
      </c>
      <c r="F21" s="8">
        <v>338</v>
      </c>
    </row>
    <row r="22" spans="1:20" ht="15.75" x14ac:dyDescent="0.25">
      <c r="A22" s="4" t="s">
        <v>3</v>
      </c>
      <c r="B22" s="5">
        <v>44</v>
      </c>
      <c r="C22" s="5">
        <v>51</v>
      </c>
      <c r="D22" s="5">
        <v>46</v>
      </c>
      <c r="E22" s="5">
        <v>48</v>
      </c>
      <c r="F22" s="8">
        <v>189</v>
      </c>
    </row>
    <row r="23" spans="1:20" s="16" customFormat="1" ht="15.75" x14ac:dyDescent="0.25">
      <c r="A23" s="4" t="s">
        <v>17</v>
      </c>
      <c r="B23" s="5">
        <v>41</v>
      </c>
      <c r="C23" s="5">
        <v>41</v>
      </c>
      <c r="D23" s="5">
        <v>29</v>
      </c>
      <c r="E23" s="5">
        <v>28</v>
      </c>
      <c r="F23" s="8">
        <v>139</v>
      </c>
    </row>
    <row r="24" spans="1:20" ht="15.75" x14ac:dyDescent="0.25">
      <c r="A24" s="4" t="s">
        <v>18</v>
      </c>
      <c r="B24" s="5">
        <v>69</v>
      </c>
      <c r="C24" s="5">
        <v>82</v>
      </c>
      <c r="D24" s="5">
        <v>61</v>
      </c>
      <c r="E24" s="5">
        <v>67</v>
      </c>
      <c r="F24" s="8">
        <v>279</v>
      </c>
    </row>
    <row r="25" spans="1:20" ht="15.75" x14ac:dyDescent="0.25">
      <c r="A25" s="4" t="s">
        <v>4</v>
      </c>
      <c r="B25" s="5">
        <v>326</v>
      </c>
      <c r="C25" s="5">
        <v>333</v>
      </c>
      <c r="D25" s="5">
        <v>297</v>
      </c>
      <c r="E25" s="5">
        <v>350</v>
      </c>
      <c r="F25" s="8">
        <v>1306</v>
      </c>
    </row>
    <row r="26" spans="1:20" ht="15.75" x14ac:dyDescent="0.25">
      <c r="A26" s="4" t="s">
        <v>5</v>
      </c>
      <c r="B26" s="5">
        <v>54</v>
      </c>
      <c r="C26" s="5">
        <v>57</v>
      </c>
      <c r="D26" s="5">
        <v>61</v>
      </c>
      <c r="E26" s="5">
        <v>78</v>
      </c>
      <c r="F26" s="8">
        <v>250</v>
      </c>
    </row>
    <row r="28" spans="1:20" ht="21" customHeight="1" x14ac:dyDescent="0.25">
      <c r="A28" s="18" t="s">
        <v>20</v>
      </c>
      <c r="B28" s="18"/>
      <c r="C28" s="18"/>
      <c r="D28" s="18"/>
      <c r="E28" s="18"/>
      <c r="F28" s="18"/>
      <c r="G28" s="9"/>
      <c r="H28" s="18" t="s">
        <v>20</v>
      </c>
      <c r="I28" s="18"/>
      <c r="J28" s="18"/>
      <c r="K28" s="18"/>
      <c r="L28" s="18"/>
      <c r="M28" s="18"/>
      <c r="N28" s="16"/>
      <c r="O28" s="18" t="s">
        <v>20</v>
      </c>
      <c r="P28" s="18"/>
      <c r="Q28" s="18"/>
      <c r="R28" s="18"/>
      <c r="S28" s="18"/>
      <c r="T28" s="18"/>
    </row>
    <row r="29" spans="1:20" s="10" customFormat="1" ht="21" customHeight="1" x14ac:dyDescent="0.25">
      <c r="A29" s="18" t="s">
        <v>28</v>
      </c>
      <c r="B29" s="18"/>
      <c r="C29" s="18"/>
      <c r="D29" s="18"/>
      <c r="E29" s="18"/>
      <c r="F29" s="18"/>
      <c r="G29" s="9"/>
      <c r="H29" s="18" t="s">
        <v>30</v>
      </c>
      <c r="I29" s="18"/>
      <c r="J29" s="18"/>
      <c r="K29" s="18"/>
      <c r="L29" s="18"/>
      <c r="M29" s="18"/>
      <c r="N29" s="16"/>
      <c r="O29" s="18" t="s">
        <v>29</v>
      </c>
      <c r="P29" s="18"/>
      <c r="Q29" s="18"/>
      <c r="R29" s="18"/>
      <c r="S29" s="18"/>
      <c r="T29" s="18"/>
    </row>
    <row r="30" spans="1:20" x14ac:dyDescent="0.25">
      <c r="H30" s="14"/>
      <c r="I30" s="14"/>
      <c r="J30" s="14"/>
      <c r="K30" s="14"/>
      <c r="L30" s="14"/>
      <c r="M30" s="14"/>
      <c r="O30" s="16"/>
      <c r="P30" s="16"/>
      <c r="Q30" s="16"/>
      <c r="R30" s="16"/>
      <c r="S30" s="16"/>
      <c r="T30" s="16"/>
    </row>
    <row r="31" spans="1:20" ht="15.75" x14ac:dyDescent="0.25">
      <c r="A31" s="3" t="s">
        <v>0</v>
      </c>
      <c r="B31" s="3" t="s">
        <v>9</v>
      </c>
      <c r="C31" s="3" t="s">
        <v>10</v>
      </c>
      <c r="D31" s="3" t="s">
        <v>11</v>
      </c>
      <c r="E31" s="3" t="s">
        <v>15</v>
      </c>
      <c r="F31" s="7" t="s">
        <v>16</v>
      </c>
      <c r="H31" s="3" t="s">
        <v>0</v>
      </c>
      <c r="I31" s="3" t="s">
        <v>9</v>
      </c>
      <c r="J31" s="3" t="s">
        <v>10</v>
      </c>
      <c r="K31" s="3" t="s">
        <v>11</v>
      </c>
      <c r="L31" s="3" t="s">
        <v>15</v>
      </c>
      <c r="M31" s="7" t="s">
        <v>16</v>
      </c>
      <c r="O31" s="3" t="s">
        <v>0</v>
      </c>
      <c r="P31" s="3" t="s">
        <v>9</v>
      </c>
      <c r="Q31" s="3" t="s">
        <v>10</v>
      </c>
      <c r="R31" s="3" t="s">
        <v>11</v>
      </c>
      <c r="S31" s="3" t="s">
        <v>15</v>
      </c>
      <c r="T31" s="7" t="s">
        <v>16</v>
      </c>
    </row>
    <row r="32" spans="1:20" ht="15.95" customHeight="1" x14ac:dyDescent="0.25">
      <c r="A32" s="4" t="s">
        <v>8</v>
      </c>
      <c r="B32" s="5">
        <v>333</v>
      </c>
      <c r="C32" s="5">
        <v>315</v>
      </c>
      <c r="D32" s="5">
        <v>297</v>
      </c>
      <c r="E32" s="5">
        <v>347</v>
      </c>
      <c r="F32" s="8">
        <v>1292</v>
      </c>
      <c r="H32" s="4" t="s">
        <v>8</v>
      </c>
      <c r="I32" s="5">
        <v>122</v>
      </c>
      <c r="J32" s="5">
        <v>101</v>
      </c>
      <c r="K32" s="5">
        <v>95</v>
      </c>
      <c r="L32" s="5">
        <v>120</v>
      </c>
      <c r="M32" s="8">
        <v>438</v>
      </c>
      <c r="O32" s="4" t="s">
        <v>8</v>
      </c>
      <c r="P32" s="5">
        <v>10</v>
      </c>
      <c r="Q32" s="5">
        <v>15</v>
      </c>
      <c r="R32" s="5">
        <v>10</v>
      </c>
      <c r="S32" s="5">
        <v>12</v>
      </c>
      <c r="T32" s="8">
        <v>47</v>
      </c>
    </row>
    <row r="33" spans="1:20" ht="15.95" customHeight="1" x14ac:dyDescent="0.25">
      <c r="A33" s="4" t="s">
        <v>1</v>
      </c>
      <c r="B33" s="5">
        <v>54</v>
      </c>
      <c r="C33" s="5">
        <v>39</v>
      </c>
      <c r="D33" s="5">
        <v>52</v>
      </c>
      <c r="E33" s="5">
        <v>62</v>
      </c>
      <c r="F33" s="8">
        <v>207</v>
      </c>
      <c r="H33" s="4" t="s">
        <v>1</v>
      </c>
      <c r="I33" s="5">
        <v>21</v>
      </c>
      <c r="J33" s="5">
        <v>12</v>
      </c>
      <c r="K33" s="5">
        <v>22</v>
      </c>
      <c r="L33" s="5">
        <v>26</v>
      </c>
      <c r="M33" s="8">
        <v>81</v>
      </c>
      <c r="O33" s="4" t="s">
        <v>1</v>
      </c>
      <c r="P33" s="5">
        <v>5</v>
      </c>
      <c r="Q33" s="5">
        <v>2</v>
      </c>
      <c r="R33" s="5">
        <v>2</v>
      </c>
      <c r="S33" s="5">
        <v>3</v>
      </c>
      <c r="T33" s="8">
        <v>12</v>
      </c>
    </row>
    <row r="34" spans="1:20" ht="15.95" customHeight="1" x14ac:dyDescent="0.25">
      <c r="A34" s="4" t="s">
        <v>2</v>
      </c>
      <c r="B34" s="5">
        <v>62</v>
      </c>
      <c r="C34" s="5">
        <v>46</v>
      </c>
      <c r="D34" s="5">
        <v>42</v>
      </c>
      <c r="E34" s="5">
        <v>60</v>
      </c>
      <c r="F34" s="8">
        <v>210</v>
      </c>
      <c r="H34" s="4" t="s">
        <v>2</v>
      </c>
      <c r="I34" s="5">
        <v>20</v>
      </c>
      <c r="J34" s="5">
        <v>11</v>
      </c>
      <c r="K34" s="5">
        <v>11</v>
      </c>
      <c r="L34" s="5">
        <v>14</v>
      </c>
      <c r="M34" s="8">
        <v>56</v>
      </c>
      <c r="O34" s="4" t="s">
        <v>2</v>
      </c>
      <c r="P34" s="5">
        <v>0</v>
      </c>
      <c r="Q34" s="5">
        <v>0</v>
      </c>
      <c r="R34" s="5">
        <v>3</v>
      </c>
      <c r="S34" s="5">
        <v>0</v>
      </c>
      <c r="T34" s="8">
        <v>3</v>
      </c>
    </row>
    <row r="35" spans="1:20" ht="15.95" customHeight="1" x14ac:dyDescent="0.25">
      <c r="A35" s="4" t="s">
        <v>3</v>
      </c>
      <c r="B35" s="5">
        <v>24</v>
      </c>
      <c r="C35" s="5">
        <v>31</v>
      </c>
      <c r="D35" s="5">
        <v>28</v>
      </c>
      <c r="E35" s="5">
        <v>30</v>
      </c>
      <c r="F35" s="8">
        <v>113</v>
      </c>
      <c r="H35" s="4" t="s">
        <v>3</v>
      </c>
      <c r="I35" s="5">
        <v>7</v>
      </c>
      <c r="J35" s="5">
        <v>8</v>
      </c>
      <c r="K35" s="5">
        <v>5</v>
      </c>
      <c r="L35" s="5">
        <v>7</v>
      </c>
      <c r="M35" s="8">
        <v>27</v>
      </c>
      <c r="O35" s="4" t="s">
        <v>3</v>
      </c>
      <c r="P35" s="5">
        <v>0</v>
      </c>
      <c r="Q35" s="5">
        <v>2</v>
      </c>
      <c r="R35" s="5">
        <v>1</v>
      </c>
      <c r="S35" s="5">
        <v>0</v>
      </c>
      <c r="T35" s="8">
        <v>3</v>
      </c>
    </row>
    <row r="36" spans="1:20" s="16" customFormat="1" ht="15.95" customHeight="1" x14ac:dyDescent="0.25">
      <c r="A36" s="4" t="s">
        <v>17</v>
      </c>
      <c r="B36" s="5">
        <v>30</v>
      </c>
      <c r="C36" s="5">
        <v>33</v>
      </c>
      <c r="D36" s="5">
        <v>19</v>
      </c>
      <c r="E36" s="5">
        <v>23</v>
      </c>
      <c r="F36" s="8">
        <v>105</v>
      </c>
      <c r="H36" s="4" t="s">
        <v>17</v>
      </c>
      <c r="I36" s="5">
        <v>14</v>
      </c>
      <c r="J36" s="5">
        <v>10</v>
      </c>
      <c r="K36" s="5">
        <v>7</v>
      </c>
      <c r="L36" s="5">
        <v>7</v>
      </c>
      <c r="M36" s="8">
        <v>38</v>
      </c>
      <c r="O36" s="4" t="s">
        <v>17</v>
      </c>
      <c r="P36" s="5">
        <v>0</v>
      </c>
      <c r="Q36" s="5">
        <v>3</v>
      </c>
      <c r="R36" s="5">
        <v>0</v>
      </c>
      <c r="S36" s="5">
        <v>0</v>
      </c>
      <c r="T36" s="8">
        <v>3</v>
      </c>
    </row>
    <row r="37" spans="1:20" ht="15.95" customHeight="1" x14ac:dyDescent="0.25">
      <c r="A37" s="4" t="s">
        <v>18</v>
      </c>
      <c r="B37" s="5">
        <v>48</v>
      </c>
      <c r="C37" s="5">
        <v>65</v>
      </c>
      <c r="D37" s="5">
        <v>40</v>
      </c>
      <c r="E37" s="5">
        <v>45</v>
      </c>
      <c r="F37" s="8">
        <v>198</v>
      </c>
      <c r="H37" s="4" t="s">
        <v>18</v>
      </c>
      <c r="I37" s="5">
        <v>22</v>
      </c>
      <c r="J37" s="5">
        <v>21</v>
      </c>
      <c r="K37" s="5">
        <v>16</v>
      </c>
      <c r="L37" s="5">
        <v>12</v>
      </c>
      <c r="M37" s="8">
        <v>71</v>
      </c>
      <c r="O37" s="4" t="s">
        <v>18</v>
      </c>
      <c r="P37" s="5">
        <v>0</v>
      </c>
      <c r="Q37" s="5">
        <v>4</v>
      </c>
      <c r="R37" s="5">
        <v>2</v>
      </c>
      <c r="S37" s="5">
        <v>1</v>
      </c>
      <c r="T37" s="8">
        <v>7</v>
      </c>
    </row>
    <row r="38" spans="1:20" ht="15.95" customHeight="1" x14ac:dyDescent="0.25">
      <c r="A38" s="4" t="s">
        <v>4</v>
      </c>
      <c r="B38" s="5">
        <v>161</v>
      </c>
      <c r="C38" s="5">
        <v>149</v>
      </c>
      <c r="D38" s="5">
        <v>142</v>
      </c>
      <c r="E38" s="5">
        <v>153</v>
      </c>
      <c r="F38" s="8">
        <v>605</v>
      </c>
      <c r="H38" s="4" t="s">
        <v>4</v>
      </c>
      <c r="I38" s="5">
        <v>62</v>
      </c>
      <c r="J38" s="5">
        <v>53</v>
      </c>
      <c r="K38" s="5">
        <v>47</v>
      </c>
      <c r="L38" s="5">
        <v>66</v>
      </c>
      <c r="M38" s="8">
        <v>228</v>
      </c>
      <c r="O38" s="4" t="s">
        <v>4</v>
      </c>
      <c r="P38" s="5">
        <v>7</v>
      </c>
      <c r="Q38" s="5">
        <v>11</v>
      </c>
      <c r="R38" s="5">
        <v>5</v>
      </c>
      <c r="S38" s="5">
        <v>11</v>
      </c>
      <c r="T38" s="8">
        <v>34</v>
      </c>
    </row>
    <row r="39" spans="1:20" ht="15.95" customHeight="1" x14ac:dyDescent="0.25">
      <c r="A39" s="4" t="s">
        <v>5</v>
      </c>
      <c r="B39" s="5">
        <v>26</v>
      </c>
      <c r="C39" s="5">
        <v>29</v>
      </c>
      <c r="D39" s="5">
        <v>29</v>
      </c>
      <c r="E39" s="5">
        <v>39</v>
      </c>
      <c r="F39" s="8">
        <v>123</v>
      </c>
      <c r="H39" s="4" t="s">
        <v>5</v>
      </c>
      <c r="I39" s="5">
        <v>7</v>
      </c>
      <c r="J39" s="5">
        <v>5</v>
      </c>
      <c r="K39" s="5">
        <v>7</v>
      </c>
      <c r="L39" s="5">
        <v>8</v>
      </c>
      <c r="M39" s="8">
        <v>27</v>
      </c>
      <c r="O39" s="4" t="s">
        <v>5</v>
      </c>
      <c r="P39" s="5">
        <v>0</v>
      </c>
      <c r="Q39" s="5">
        <v>0</v>
      </c>
      <c r="R39" s="5">
        <v>0</v>
      </c>
      <c r="S39" s="5">
        <v>0</v>
      </c>
      <c r="T39" s="8">
        <v>0</v>
      </c>
    </row>
    <row r="40" spans="1:20" ht="15.95" customHeight="1" x14ac:dyDescent="0.25"/>
    <row r="42" spans="1:20" ht="21" customHeight="1" x14ac:dyDescent="0.25">
      <c r="A42" s="18" t="s">
        <v>27</v>
      </c>
      <c r="B42" s="18"/>
      <c r="C42" s="18"/>
      <c r="D42" s="18"/>
      <c r="E42" s="18"/>
      <c r="F42" s="18"/>
      <c r="G42" s="9"/>
      <c r="H42" s="18" t="s">
        <v>27</v>
      </c>
      <c r="I42" s="18"/>
      <c r="J42" s="18"/>
      <c r="K42" s="18"/>
      <c r="L42" s="18"/>
      <c r="M42" s="18"/>
      <c r="N42" s="16"/>
      <c r="O42" s="18" t="s">
        <v>27</v>
      </c>
      <c r="P42" s="18"/>
      <c r="Q42" s="18"/>
      <c r="R42" s="18"/>
      <c r="S42" s="18"/>
      <c r="T42" s="18"/>
    </row>
    <row r="43" spans="1:20" s="16" customFormat="1" ht="21" customHeight="1" x14ac:dyDescent="0.25">
      <c r="A43" s="18" t="s">
        <v>21</v>
      </c>
      <c r="B43" s="18"/>
      <c r="C43" s="18"/>
      <c r="D43" s="18"/>
      <c r="E43" s="18"/>
      <c r="F43" s="18"/>
      <c r="G43" s="9"/>
      <c r="H43" s="18" t="s">
        <v>22</v>
      </c>
      <c r="I43" s="18"/>
      <c r="J43" s="18"/>
      <c r="K43" s="18"/>
      <c r="L43" s="18"/>
      <c r="M43" s="18"/>
      <c r="O43" s="18" t="s">
        <v>23</v>
      </c>
      <c r="P43" s="18"/>
      <c r="Q43" s="18"/>
      <c r="R43" s="18"/>
      <c r="S43" s="18"/>
      <c r="T43" s="18"/>
    </row>
    <row r="44" spans="1:20" ht="21" customHeight="1" x14ac:dyDescent="0.25">
      <c r="A44" s="9"/>
      <c r="B44" s="9"/>
      <c r="C44" s="9"/>
      <c r="D44" s="9"/>
      <c r="E44" s="9"/>
      <c r="F44" s="9"/>
      <c r="G44" s="9"/>
      <c r="H44" s="9"/>
      <c r="I44" s="9"/>
      <c r="J44" s="9"/>
      <c r="K44" s="9"/>
      <c r="L44" s="9"/>
      <c r="M44" s="9"/>
      <c r="O44" s="9"/>
      <c r="P44" s="9"/>
      <c r="Q44" s="9"/>
      <c r="R44" s="9"/>
      <c r="S44" s="9"/>
      <c r="T44" s="9"/>
    </row>
    <row r="45" spans="1:20" ht="15.75" x14ac:dyDescent="0.25">
      <c r="A45" s="3" t="s">
        <v>0</v>
      </c>
      <c r="B45" s="3" t="s">
        <v>9</v>
      </c>
      <c r="C45" s="3" t="s">
        <v>10</v>
      </c>
      <c r="D45" s="3" t="s">
        <v>11</v>
      </c>
      <c r="E45" s="3" t="s">
        <v>15</v>
      </c>
      <c r="F45" s="7" t="s">
        <v>16</v>
      </c>
      <c r="H45" s="3" t="s">
        <v>0</v>
      </c>
      <c r="I45" s="3" t="s">
        <v>9</v>
      </c>
      <c r="J45" s="3" t="s">
        <v>10</v>
      </c>
      <c r="K45" s="3" t="s">
        <v>11</v>
      </c>
      <c r="L45" s="3" t="s">
        <v>15</v>
      </c>
      <c r="M45" s="7" t="s">
        <v>16</v>
      </c>
      <c r="O45" s="3" t="s">
        <v>0</v>
      </c>
      <c r="P45" s="3" t="s">
        <v>9</v>
      </c>
      <c r="Q45" s="3" t="s">
        <v>10</v>
      </c>
      <c r="R45" s="3" t="s">
        <v>11</v>
      </c>
      <c r="S45" s="3" t="s">
        <v>15</v>
      </c>
      <c r="T45" s="7" t="s">
        <v>16</v>
      </c>
    </row>
    <row r="46" spans="1:20" ht="15.95" customHeight="1" x14ac:dyDescent="0.25">
      <c r="A46" s="4" t="s">
        <v>8</v>
      </c>
      <c r="B46" s="6">
        <v>19.288</v>
      </c>
      <c r="C46" s="6">
        <v>19.344999999999999</v>
      </c>
      <c r="D46" s="6">
        <v>19.138999999999999</v>
      </c>
      <c r="E46" s="6">
        <v>19.266999999999999</v>
      </c>
      <c r="F46" s="8">
        <v>19.260000000000002</v>
      </c>
      <c r="H46" s="4" t="s">
        <v>8</v>
      </c>
      <c r="I46" s="6">
        <v>22.257000000000001</v>
      </c>
      <c r="J46" s="6">
        <v>22.46</v>
      </c>
      <c r="K46" s="6">
        <v>22.295000000000002</v>
      </c>
      <c r="L46" s="6">
        <v>22.231999999999999</v>
      </c>
      <c r="M46" s="8">
        <v>22.306999999999999</v>
      </c>
      <c r="O46" s="4" t="s">
        <v>8</v>
      </c>
      <c r="P46" s="6">
        <v>26.940999999999999</v>
      </c>
      <c r="Q46" s="6">
        <v>26.707000000000001</v>
      </c>
      <c r="R46" s="6">
        <v>26.47</v>
      </c>
      <c r="S46" s="6">
        <v>26.6</v>
      </c>
      <c r="T46" s="8">
        <v>26.69</v>
      </c>
    </row>
    <row r="47" spans="1:20" ht="15.95" customHeight="1" x14ac:dyDescent="0.25">
      <c r="A47" s="4" t="s">
        <v>1</v>
      </c>
      <c r="B47" s="6">
        <v>19.913</v>
      </c>
      <c r="C47" s="6">
        <v>18.922999999999998</v>
      </c>
      <c r="D47" s="6">
        <v>19.914999999999999</v>
      </c>
      <c r="E47" s="6">
        <v>20.001000000000001</v>
      </c>
      <c r="F47" s="8">
        <v>19.702999999999999</v>
      </c>
      <c r="H47" s="4" t="s">
        <v>1</v>
      </c>
      <c r="I47" s="6">
        <v>23.234000000000002</v>
      </c>
      <c r="J47" s="6">
        <v>21.92</v>
      </c>
      <c r="K47" s="6">
        <v>22.401</v>
      </c>
      <c r="L47" s="6">
        <v>22.402000000000001</v>
      </c>
      <c r="M47" s="8">
        <v>22.503</v>
      </c>
      <c r="O47" s="4" t="s">
        <v>1</v>
      </c>
      <c r="P47" s="6">
        <v>26.73</v>
      </c>
      <c r="Q47" s="6">
        <v>25.56</v>
      </c>
      <c r="R47" s="6">
        <v>26.6</v>
      </c>
      <c r="S47" s="6">
        <v>26.77</v>
      </c>
      <c r="T47" s="8">
        <v>26.504000000000001</v>
      </c>
    </row>
    <row r="48" spans="1:20" ht="15.95" customHeight="1" x14ac:dyDescent="0.25">
      <c r="A48" s="4" t="s">
        <v>2</v>
      </c>
      <c r="B48" s="6">
        <v>18.920999999999999</v>
      </c>
      <c r="C48" s="6">
        <v>18.992000000000001</v>
      </c>
      <c r="D48" s="6">
        <v>18.738</v>
      </c>
      <c r="E48" s="6">
        <v>18.82</v>
      </c>
      <c r="F48" s="8">
        <v>18.864999999999998</v>
      </c>
      <c r="H48" s="4" t="s">
        <v>2</v>
      </c>
      <c r="I48" s="6">
        <v>21.622</v>
      </c>
      <c r="J48" s="6">
        <v>22.120999999999999</v>
      </c>
      <c r="K48" s="6">
        <v>22.48</v>
      </c>
      <c r="L48" s="6">
        <v>21.632000000000001</v>
      </c>
      <c r="M48" s="8">
        <v>21.937000000000001</v>
      </c>
      <c r="O48" s="4" t="s">
        <v>2</v>
      </c>
      <c r="P48" s="6">
        <v>0</v>
      </c>
      <c r="Q48" s="6">
        <v>0</v>
      </c>
      <c r="R48" s="6">
        <v>26.175000000000001</v>
      </c>
      <c r="S48" s="6">
        <v>0</v>
      </c>
      <c r="T48" s="8">
        <v>26.175000000000001</v>
      </c>
    </row>
    <row r="49" spans="1:20" ht="15.95" customHeight="1" x14ac:dyDescent="0.25">
      <c r="A49" s="4" t="s">
        <v>3</v>
      </c>
      <c r="B49" s="6">
        <v>19.73</v>
      </c>
      <c r="C49" s="6">
        <v>19.02</v>
      </c>
      <c r="D49" s="6">
        <v>18.408000000000001</v>
      </c>
      <c r="E49" s="6">
        <v>18.693000000000001</v>
      </c>
      <c r="F49" s="8">
        <v>18.936</v>
      </c>
      <c r="H49" s="4" t="s">
        <v>3</v>
      </c>
      <c r="I49" s="6">
        <v>22.045000000000002</v>
      </c>
      <c r="J49" s="6">
        <v>22.716999999999999</v>
      </c>
      <c r="K49" s="6">
        <v>22.387</v>
      </c>
      <c r="L49" s="6">
        <v>22.274000000000001</v>
      </c>
      <c r="M49" s="8">
        <v>22.335000000000001</v>
      </c>
      <c r="O49" s="4" t="s">
        <v>3</v>
      </c>
      <c r="P49" s="6">
        <v>0</v>
      </c>
      <c r="Q49" s="6">
        <v>25.765000000000001</v>
      </c>
      <c r="R49" s="6">
        <v>25.97</v>
      </c>
      <c r="S49" s="6">
        <v>0</v>
      </c>
      <c r="T49" s="8">
        <v>25.832999999999998</v>
      </c>
    </row>
    <row r="50" spans="1:20" s="16" customFormat="1" ht="15.95" customHeight="1" x14ac:dyDescent="0.25">
      <c r="A50" s="4" t="s">
        <v>17</v>
      </c>
      <c r="B50" s="6">
        <v>19.905000000000001</v>
      </c>
      <c r="C50" s="6">
        <v>19.693000000000001</v>
      </c>
      <c r="D50" s="6">
        <v>18.111000000000001</v>
      </c>
      <c r="E50" s="6">
        <v>19.623999999999999</v>
      </c>
      <c r="F50" s="8">
        <v>19.364000000000001</v>
      </c>
      <c r="H50" s="4" t="s">
        <v>17</v>
      </c>
      <c r="I50" s="6">
        <v>21.986999999999998</v>
      </c>
      <c r="J50" s="6">
        <v>23.434000000000001</v>
      </c>
      <c r="K50" s="6">
        <v>21.03</v>
      </c>
      <c r="L50" s="6">
        <v>21.747</v>
      </c>
      <c r="M50" s="8">
        <v>22.131</v>
      </c>
      <c r="O50" s="4" t="s">
        <v>17</v>
      </c>
      <c r="P50" s="6">
        <v>0</v>
      </c>
      <c r="Q50" s="6">
        <v>26.78</v>
      </c>
      <c r="R50" s="6">
        <v>0</v>
      </c>
      <c r="S50" s="6">
        <v>0</v>
      </c>
      <c r="T50" s="8">
        <v>26.78</v>
      </c>
    </row>
    <row r="51" spans="1:20" ht="15.95" customHeight="1" x14ac:dyDescent="0.25">
      <c r="A51" s="4" t="s">
        <v>18</v>
      </c>
      <c r="B51" s="6">
        <v>19.795999999999999</v>
      </c>
      <c r="C51" s="6">
        <v>19.260999999999999</v>
      </c>
      <c r="D51" s="6">
        <v>19.274999999999999</v>
      </c>
      <c r="E51" s="6">
        <v>18.672999999999998</v>
      </c>
      <c r="F51" s="8">
        <v>19.224</v>
      </c>
      <c r="H51" s="4" t="s">
        <v>18</v>
      </c>
      <c r="I51" s="6">
        <v>21.704000000000001</v>
      </c>
      <c r="J51" s="6">
        <v>23.01</v>
      </c>
      <c r="K51" s="6">
        <v>22.154</v>
      </c>
      <c r="L51" s="6">
        <v>22.364999999999998</v>
      </c>
      <c r="M51" s="8">
        <v>22.311</v>
      </c>
      <c r="O51" s="4" t="s">
        <v>18</v>
      </c>
      <c r="P51" s="6">
        <v>0</v>
      </c>
      <c r="Q51" s="6">
        <v>26.71</v>
      </c>
      <c r="R51" s="6">
        <v>27.305</v>
      </c>
      <c r="S51" s="6">
        <v>25.34</v>
      </c>
      <c r="T51" s="8">
        <v>26.673999999999999</v>
      </c>
    </row>
    <row r="52" spans="1:20" ht="15.95" customHeight="1" x14ac:dyDescent="0.25">
      <c r="A52" s="4" t="s">
        <v>4</v>
      </c>
      <c r="B52" s="6">
        <v>19.413</v>
      </c>
      <c r="C52" s="6">
        <v>19.733000000000001</v>
      </c>
      <c r="D52" s="6">
        <v>19.202999999999999</v>
      </c>
      <c r="E52" s="6">
        <v>19.661000000000001</v>
      </c>
      <c r="F52" s="8">
        <v>19.510000000000002</v>
      </c>
      <c r="H52" s="4" t="s">
        <v>4</v>
      </c>
      <c r="I52" s="6">
        <v>22.407</v>
      </c>
      <c r="J52" s="6">
        <v>22.628</v>
      </c>
      <c r="K52" s="6">
        <v>22.463000000000001</v>
      </c>
      <c r="L52" s="6">
        <v>22.675000000000001</v>
      </c>
      <c r="M52" s="8">
        <v>22.545999999999999</v>
      </c>
      <c r="O52" s="4" t="s">
        <v>4</v>
      </c>
      <c r="P52" s="6">
        <v>27.437999999999999</v>
      </c>
      <c r="Q52" s="6">
        <v>26.952999999999999</v>
      </c>
      <c r="R52" s="6">
        <v>27.65</v>
      </c>
      <c r="S52" s="6">
        <v>26.492000000000001</v>
      </c>
      <c r="T52" s="8">
        <v>27.068999999999999</v>
      </c>
    </row>
    <row r="53" spans="1:20" ht="15.95" customHeight="1" x14ac:dyDescent="0.25">
      <c r="A53" s="4" t="s">
        <v>5</v>
      </c>
      <c r="B53" s="6">
        <v>18.312999999999999</v>
      </c>
      <c r="C53" s="6">
        <v>17.66</v>
      </c>
      <c r="D53" s="6">
        <v>18.302</v>
      </c>
      <c r="E53" s="6">
        <v>18.442</v>
      </c>
      <c r="F53" s="8">
        <v>18.189</v>
      </c>
      <c r="H53" s="4" t="s">
        <v>5</v>
      </c>
      <c r="I53" s="6">
        <v>22.475999999999999</v>
      </c>
      <c r="J53" s="6">
        <v>20.577000000000002</v>
      </c>
      <c r="K53" s="6">
        <v>21.175000000000001</v>
      </c>
      <c r="L53" s="6">
        <v>21.187999999999999</v>
      </c>
      <c r="M53" s="8">
        <v>21.396000000000001</v>
      </c>
      <c r="O53" s="4" t="s">
        <v>5</v>
      </c>
      <c r="P53" s="6">
        <v>0</v>
      </c>
      <c r="Q53" s="6">
        <v>0</v>
      </c>
      <c r="R53" s="6">
        <v>0</v>
      </c>
      <c r="S53" s="6">
        <v>0</v>
      </c>
      <c r="T53" s="8">
        <v>0</v>
      </c>
    </row>
    <row r="54" spans="1:20" ht="15.95" customHeight="1" x14ac:dyDescent="0.25"/>
    <row r="55" spans="1:20" x14ac:dyDescent="0.25">
      <c r="O55" s="13"/>
    </row>
    <row r="56" spans="1:20" ht="21" customHeight="1" x14ac:dyDescent="0.25">
      <c r="A56" s="18" t="s">
        <v>24</v>
      </c>
      <c r="B56" s="18"/>
      <c r="C56" s="18"/>
      <c r="D56" s="18"/>
      <c r="E56" s="18"/>
      <c r="F56" s="18"/>
      <c r="G56" s="9"/>
      <c r="H56" s="18" t="s">
        <v>24</v>
      </c>
      <c r="I56" s="18"/>
      <c r="J56" s="18"/>
      <c r="K56" s="18"/>
      <c r="L56" s="18"/>
      <c r="M56" s="18"/>
      <c r="N56" s="16"/>
      <c r="O56" s="18" t="s">
        <v>24</v>
      </c>
      <c r="P56" s="18"/>
      <c r="Q56" s="18"/>
      <c r="R56" s="18"/>
      <c r="S56" s="18"/>
      <c r="T56" s="18"/>
    </row>
    <row r="57" spans="1:20" s="10" customFormat="1" ht="21" customHeight="1" x14ac:dyDescent="0.25">
      <c r="A57" s="18" t="s">
        <v>21</v>
      </c>
      <c r="B57" s="18"/>
      <c r="C57" s="18"/>
      <c r="D57" s="18"/>
      <c r="E57" s="18"/>
      <c r="F57" s="18"/>
      <c r="G57" s="9"/>
      <c r="H57" s="18" t="s">
        <v>22</v>
      </c>
      <c r="I57" s="18"/>
      <c r="J57" s="18"/>
      <c r="K57" s="18"/>
      <c r="L57" s="18"/>
      <c r="M57" s="18"/>
      <c r="N57" s="16"/>
      <c r="O57" s="18" t="s">
        <v>23</v>
      </c>
      <c r="P57" s="18"/>
      <c r="Q57" s="18"/>
      <c r="R57" s="18"/>
      <c r="S57" s="18"/>
      <c r="T57" s="18"/>
    </row>
    <row r="58" spans="1:20" ht="21" customHeight="1" x14ac:dyDescent="0.25">
      <c r="A58" s="15"/>
      <c r="B58" s="15"/>
      <c r="C58" s="15"/>
      <c r="D58" s="15"/>
      <c r="E58" s="15"/>
      <c r="F58" s="15"/>
      <c r="G58" s="15"/>
      <c r="H58" s="15"/>
      <c r="I58" s="15"/>
      <c r="J58" s="15"/>
      <c r="K58" s="15"/>
      <c r="L58" s="15"/>
      <c r="M58" s="15"/>
      <c r="O58" s="16"/>
      <c r="P58" s="16"/>
      <c r="Q58" s="16"/>
      <c r="R58" s="16"/>
      <c r="S58" s="16"/>
      <c r="T58" s="16"/>
    </row>
    <row r="59" spans="1:20" ht="15.75" x14ac:dyDescent="0.25">
      <c r="A59" s="3" t="s">
        <v>0</v>
      </c>
      <c r="B59" s="3" t="s">
        <v>9</v>
      </c>
      <c r="C59" s="3" t="s">
        <v>10</v>
      </c>
      <c r="D59" s="3" t="s">
        <v>11</v>
      </c>
      <c r="E59" s="3" t="s">
        <v>15</v>
      </c>
      <c r="F59" s="7" t="s">
        <v>16</v>
      </c>
      <c r="H59" s="3" t="s">
        <v>0</v>
      </c>
      <c r="I59" s="3" t="s">
        <v>9</v>
      </c>
      <c r="J59" s="3" t="s">
        <v>10</v>
      </c>
      <c r="K59" s="3" t="s">
        <v>11</v>
      </c>
      <c r="L59" s="3" t="s">
        <v>15</v>
      </c>
      <c r="M59" s="7" t="s">
        <v>16</v>
      </c>
      <c r="O59" s="3" t="s">
        <v>0</v>
      </c>
      <c r="P59" s="3" t="s">
        <v>9</v>
      </c>
      <c r="Q59" s="3" t="s">
        <v>10</v>
      </c>
      <c r="R59" s="3" t="s">
        <v>11</v>
      </c>
      <c r="S59" s="3" t="s">
        <v>15</v>
      </c>
      <c r="T59" s="7" t="s">
        <v>16</v>
      </c>
    </row>
    <row r="60" spans="1:20" ht="15.95" customHeight="1" x14ac:dyDescent="0.25">
      <c r="A60" s="4" t="s">
        <v>8</v>
      </c>
      <c r="B60" s="6">
        <v>5.99</v>
      </c>
      <c r="C60" s="6">
        <v>7.71</v>
      </c>
      <c r="D60" s="6">
        <v>7.12</v>
      </c>
      <c r="E60" s="6">
        <v>5.56</v>
      </c>
      <c r="F60" s="8">
        <v>6.55</v>
      </c>
      <c r="H60" s="4" t="s">
        <v>8</v>
      </c>
      <c r="I60" s="6">
        <v>2.78</v>
      </c>
      <c r="J60" s="6">
        <v>3.7</v>
      </c>
      <c r="K60" s="6">
        <v>3.39</v>
      </c>
      <c r="L60" s="6">
        <v>2.17</v>
      </c>
      <c r="M60" s="8">
        <v>2.97</v>
      </c>
      <c r="O60" s="4" t="s">
        <v>8</v>
      </c>
      <c r="P60" s="6">
        <v>1.07</v>
      </c>
      <c r="Q60" s="6">
        <v>3.03</v>
      </c>
      <c r="R60" s="6">
        <v>2.59</v>
      </c>
      <c r="S60" s="6">
        <v>5.92</v>
      </c>
      <c r="T60" s="8">
        <v>2.14</v>
      </c>
    </row>
    <row r="61" spans="1:20" ht="15.95" customHeight="1" x14ac:dyDescent="0.25">
      <c r="A61" s="4" t="s">
        <v>1</v>
      </c>
      <c r="B61" s="6">
        <v>5.15</v>
      </c>
      <c r="C61" s="6">
        <v>3.53</v>
      </c>
      <c r="D61" s="6">
        <v>5.53</v>
      </c>
      <c r="E61" s="6">
        <v>4.88</v>
      </c>
      <c r="F61" s="8">
        <v>4.7699999999999996</v>
      </c>
      <c r="H61" s="4" t="s">
        <v>1</v>
      </c>
      <c r="I61" s="6">
        <v>2.6</v>
      </c>
      <c r="J61" s="6">
        <v>2.96</v>
      </c>
      <c r="K61" s="6">
        <v>2.87</v>
      </c>
      <c r="L61" s="6">
        <v>2.36</v>
      </c>
      <c r="M61" s="8">
        <v>2.68</v>
      </c>
      <c r="O61" s="4" t="s">
        <v>1</v>
      </c>
      <c r="P61" s="6">
        <v>0.98</v>
      </c>
      <c r="Q61" s="6">
        <v>0</v>
      </c>
      <c r="R61" s="6">
        <v>2.37</v>
      </c>
      <c r="S61" s="6">
        <v>0</v>
      </c>
      <c r="T61" s="8">
        <v>1.9</v>
      </c>
    </row>
    <row r="62" spans="1:20" ht="15.95" customHeight="1" x14ac:dyDescent="0.25">
      <c r="A62" s="4" t="s">
        <v>2</v>
      </c>
      <c r="B62" s="6">
        <v>0.82899999999999996</v>
      </c>
      <c r="C62" s="6">
        <v>2.17</v>
      </c>
      <c r="D62" s="6">
        <v>4.47</v>
      </c>
      <c r="E62" s="6">
        <v>2.12</v>
      </c>
      <c r="F62" s="8">
        <v>2.34</v>
      </c>
      <c r="H62" s="4" t="s">
        <v>2</v>
      </c>
      <c r="I62" s="6">
        <v>0.53500000000000003</v>
      </c>
      <c r="J62" s="6">
        <v>1.63</v>
      </c>
      <c r="K62" s="6">
        <v>3.31</v>
      </c>
      <c r="L62" s="6">
        <v>0.80200000000000005</v>
      </c>
      <c r="M62" s="8">
        <v>1.48</v>
      </c>
      <c r="O62" s="4" t="s">
        <v>2</v>
      </c>
      <c r="P62" s="6">
        <v>0</v>
      </c>
      <c r="Q62" s="6">
        <v>0</v>
      </c>
      <c r="R62" s="6">
        <v>0</v>
      </c>
      <c r="S62" s="6">
        <v>0</v>
      </c>
      <c r="T62" s="8">
        <v>0</v>
      </c>
    </row>
    <row r="63" spans="1:20" ht="15.95" customHeight="1" x14ac:dyDescent="0.25">
      <c r="A63" s="4" t="s">
        <v>3</v>
      </c>
      <c r="B63" s="6">
        <v>0</v>
      </c>
      <c r="C63" s="6">
        <v>1.41</v>
      </c>
      <c r="D63" s="6">
        <v>0.58799999999999997</v>
      </c>
      <c r="E63" s="6">
        <v>0.66600000000000004</v>
      </c>
      <c r="F63" s="8">
        <v>0.87</v>
      </c>
      <c r="H63" s="4" t="s">
        <v>3</v>
      </c>
      <c r="I63" s="6">
        <v>0</v>
      </c>
      <c r="J63" s="6">
        <v>0</v>
      </c>
      <c r="K63" s="6">
        <v>0</v>
      </c>
      <c r="L63" s="6">
        <v>0</v>
      </c>
      <c r="M63" s="8">
        <v>0</v>
      </c>
      <c r="O63" s="4" t="s">
        <v>3</v>
      </c>
      <c r="P63" s="6">
        <v>0</v>
      </c>
      <c r="Q63" s="6">
        <v>0</v>
      </c>
      <c r="R63" s="6">
        <v>0</v>
      </c>
      <c r="S63" s="6">
        <v>0</v>
      </c>
      <c r="T63" s="8">
        <v>0</v>
      </c>
    </row>
    <row r="64" spans="1:20" s="16" customFormat="1" ht="15.95" customHeight="1" x14ac:dyDescent="0.25">
      <c r="A64" s="4" t="s">
        <v>17</v>
      </c>
      <c r="B64" s="6">
        <v>1.61</v>
      </c>
      <c r="C64" s="6">
        <v>2.75</v>
      </c>
      <c r="D64" s="6">
        <v>0.745</v>
      </c>
      <c r="E64" s="6">
        <v>0.69899999999999995</v>
      </c>
      <c r="F64" s="8">
        <v>1.58</v>
      </c>
      <c r="H64" s="4" t="s">
        <v>17</v>
      </c>
      <c r="I64" s="6">
        <v>1.1000000000000001</v>
      </c>
      <c r="J64" s="6">
        <v>3.28</v>
      </c>
      <c r="K64" s="6">
        <v>0</v>
      </c>
      <c r="L64" s="6">
        <v>0</v>
      </c>
      <c r="M64" s="8">
        <v>2.19</v>
      </c>
      <c r="O64" s="4" t="s">
        <v>17</v>
      </c>
      <c r="P64" s="6">
        <v>0</v>
      </c>
      <c r="Q64" s="6">
        <v>0.94899999999999995</v>
      </c>
      <c r="R64" s="6">
        <v>0</v>
      </c>
      <c r="S64" s="6">
        <v>0</v>
      </c>
      <c r="T64" s="8">
        <v>0.94899999999999995</v>
      </c>
    </row>
    <row r="65" spans="1:20" ht="15.95" customHeight="1" x14ac:dyDescent="0.25">
      <c r="A65" s="4" t="s">
        <v>18</v>
      </c>
      <c r="B65" s="6">
        <v>3.61</v>
      </c>
      <c r="C65" s="6">
        <v>2.9</v>
      </c>
      <c r="D65" s="6">
        <v>3.97</v>
      </c>
      <c r="E65" s="6">
        <v>2.16</v>
      </c>
      <c r="F65" s="8">
        <v>3.14</v>
      </c>
      <c r="H65" s="4" t="s">
        <v>18</v>
      </c>
      <c r="I65" s="6">
        <v>2.15</v>
      </c>
      <c r="J65" s="6">
        <v>2.42</v>
      </c>
      <c r="K65" s="6">
        <v>6.27</v>
      </c>
      <c r="L65" s="6">
        <v>3.52</v>
      </c>
      <c r="M65" s="8">
        <v>3.32</v>
      </c>
      <c r="O65" s="4" t="s">
        <v>18</v>
      </c>
      <c r="P65" s="6">
        <v>0</v>
      </c>
      <c r="Q65" s="6">
        <v>0.94899999999999995</v>
      </c>
      <c r="R65" s="6">
        <v>2.12</v>
      </c>
      <c r="S65" s="6">
        <v>0</v>
      </c>
      <c r="T65" s="8">
        <v>1.53</v>
      </c>
    </row>
    <row r="66" spans="1:20" ht="15.95" customHeight="1" x14ac:dyDescent="0.25">
      <c r="A66" s="4" t="s">
        <v>4</v>
      </c>
      <c r="B66" s="6">
        <v>1.94</v>
      </c>
      <c r="C66" s="6">
        <v>2.09</v>
      </c>
      <c r="D66" s="6">
        <v>2.0699999999999998</v>
      </c>
      <c r="E66" s="6">
        <v>1.7</v>
      </c>
      <c r="F66" s="8">
        <v>1.94</v>
      </c>
      <c r="H66" s="4" t="s">
        <v>4</v>
      </c>
      <c r="I66" s="6">
        <v>1.44</v>
      </c>
      <c r="J66" s="6">
        <v>1.24</v>
      </c>
      <c r="K66" s="6">
        <v>1.0900000000000001</v>
      </c>
      <c r="L66" s="6">
        <v>1.21</v>
      </c>
      <c r="M66" s="8">
        <v>1.25</v>
      </c>
      <c r="O66" s="4" t="s">
        <v>4</v>
      </c>
      <c r="P66" s="6">
        <v>0.73899999999999999</v>
      </c>
      <c r="Q66" s="6">
        <v>1.65</v>
      </c>
      <c r="R66" s="6">
        <v>0</v>
      </c>
      <c r="S66" s="6">
        <v>0.59199999999999997</v>
      </c>
      <c r="T66" s="8">
        <v>1.1599999999999999</v>
      </c>
    </row>
    <row r="67" spans="1:20" ht="15.95" customHeight="1" x14ac:dyDescent="0.25">
      <c r="A67" s="4" t="s">
        <v>5</v>
      </c>
      <c r="B67" s="6">
        <v>1.53</v>
      </c>
      <c r="C67" s="6">
        <v>0.38800000000000001</v>
      </c>
      <c r="D67" s="6">
        <v>1.17</v>
      </c>
      <c r="E67" s="6">
        <v>0.47</v>
      </c>
      <c r="F67" s="8">
        <v>0.87</v>
      </c>
      <c r="H67" s="4" t="s">
        <v>5</v>
      </c>
      <c r="I67" s="6">
        <v>0.94</v>
      </c>
      <c r="J67" s="6">
        <v>0</v>
      </c>
      <c r="K67" s="6">
        <v>0.72699999999999998</v>
      </c>
      <c r="L67" s="6">
        <v>0.66</v>
      </c>
      <c r="M67" s="8">
        <v>0.82</v>
      </c>
      <c r="O67" s="4" t="s">
        <v>5</v>
      </c>
      <c r="P67" s="6">
        <v>0</v>
      </c>
      <c r="Q67" s="6">
        <v>0</v>
      </c>
      <c r="R67" s="6">
        <v>0</v>
      </c>
      <c r="S67" s="6">
        <v>0</v>
      </c>
      <c r="T67" s="8">
        <v>0</v>
      </c>
    </row>
    <row r="68" spans="1:20" ht="15.95" customHeight="1" x14ac:dyDescent="0.25"/>
    <row r="72" spans="1:20" ht="21" customHeight="1" x14ac:dyDescent="0.25">
      <c r="K72" s="1"/>
      <c r="L72" s="1"/>
      <c r="M72" s="1"/>
      <c r="O72" s="1"/>
    </row>
    <row r="73" spans="1:20" ht="21" customHeight="1" x14ac:dyDescent="0.25"/>
    <row r="75" spans="1:20" ht="15.95" customHeight="1" x14ac:dyDescent="0.25"/>
    <row r="76" spans="1:20" ht="15.95" customHeight="1" x14ac:dyDescent="0.25"/>
    <row r="77" spans="1:20" ht="15.95" customHeight="1" x14ac:dyDescent="0.25"/>
    <row r="78" spans="1:20" ht="15.95" customHeight="1" x14ac:dyDescent="0.25"/>
    <row r="79" spans="1:20" ht="15.95" customHeight="1" x14ac:dyDescent="0.25"/>
    <row r="80" spans="1:20" ht="15.95" customHeight="1" x14ac:dyDescent="0.25"/>
    <row r="81" spans="13:13" ht="15.95" customHeight="1" x14ac:dyDescent="0.25"/>
    <row r="82" spans="13:13" ht="15.95" customHeight="1" x14ac:dyDescent="0.25"/>
    <row r="86" spans="13:13" x14ac:dyDescent="0.25">
      <c r="M86" t="s">
        <v>6</v>
      </c>
    </row>
  </sheetData>
  <mergeCells count="22">
    <mergeCell ref="A57:F57"/>
    <mergeCell ref="A56:F56"/>
    <mergeCell ref="H28:M28"/>
    <mergeCell ref="O56:T56"/>
    <mergeCell ref="O57:T57"/>
    <mergeCell ref="H29:M29"/>
    <mergeCell ref="H42:M42"/>
    <mergeCell ref="H56:M56"/>
    <mergeCell ref="H57:M57"/>
    <mergeCell ref="O28:T28"/>
    <mergeCell ref="O29:T29"/>
    <mergeCell ref="O42:T42"/>
    <mergeCell ref="A29:F29"/>
    <mergeCell ref="A28:F28"/>
    <mergeCell ref="A42:F42"/>
    <mergeCell ref="A1:F1"/>
    <mergeCell ref="A2:F2"/>
    <mergeCell ref="A43:F43"/>
    <mergeCell ref="H43:M43"/>
    <mergeCell ref="O43:T43"/>
    <mergeCell ref="A4:F4"/>
    <mergeCell ref="A16:F16"/>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6"/>
  <sheetViews>
    <sheetView zoomScale="80" zoomScaleNormal="80" workbookViewId="0">
      <selection activeCell="H16" sqref="H16"/>
    </sheetView>
  </sheetViews>
  <sheetFormatPr defaultRowHeight="15" x14ac:dyDescent="0.25"/>
  <cols>
    <col min="1" max="1" width="31.28515625" style="16" bestFit="1" customWidth="1"/>
    <col min="2" max="7" width="11.7109375" style="16" customWidth="1"/>
    <col min="8" max="8" width="25.7109375" style="16" customWidth="1"/>
    <col min="9" max="14" width="11.7109375" style="16" customWidth="1"/>
    <col min="15" max="15" width="25.7109375" style="16" customWidth="1"/>
    <col min="16" max="20" width="11.7109375" style="16" customWidth="1"/>
    <col min="21" max="16384" width="9.140625" style="16"/>
  </cols>
  <sheetData>
    <row r="1" spans="1:14" ht="24.75" customHeight="1" x14ac:dyDescent="0.25">
      <c r="A1" s="17" t="s">
        <v>19</v>
      </c>
      <c r="B1" s="17"/>
      <c r="C1" s="17"/>
      <c r="D1" s="17"/>
      <c r="E1" s="17"/>
      <c r="F1" s="17"/>
    </row>
    <row r="2" spans="1:14" ht="21" x14ac:dyDescent="0.35">
      <c r="A2" s="18" t="s">
        <v>7</v>
      </c>
      <c r="B2" s="18"/>
      <c r="C2" s="18"/>
      <c r="D2" s="18"/>
      <c r="E2" s="18"/>
      <c r="F2" s="18"/>
      <c r="M2" s="2"/>
      <c r="N2" s="2"/>
    </row>
    <row r="3" spans="1:14" ht="21" x14ac:dyDescent="0.35">
      <c r="M3" s="2"/>
      <c r="N3" s="2"/>
    </row>
    <row r="5" spans="1:14" ht="21" customHeight="1" x14ac:dyDescent="0.25">
      <c r="A5" s="18" t="s">
        <v>25</v>
      </c>
      <c r="B5" s="18"/>
      <c r="C5" s="18"/>
      <c r="D5" s="18"/>
      <c r="E5" s="18"/>
      <c r="F5" s="18"/>
      <c r="G5" s="11"/>
      <c r="H5" s="11"/>
      <c r="I5" s="11"/>
      <c r="J5" s="11"/>
    </row>
    <row r="7" spans="1:14" ht="15.95" customHeight="1" x14ac:dyDescent="0.25">
      <c r="A7" s="3" t="s">
        <v>0</v>
      </c>
      <c r="B7" s="3" t="s">
        <v>9</v>
      </c>
      <c r="C7" s="3" t="s">
        <v>10</v>
      </c>
      <c r="D7" s="3" t="s">
        <v>11</v>
      </c>
      <c r="E7" s="3" t="s">
        <v>15</v>
      </c>
      <c r="F7" s="7" t="s">
        <v>16</v>
      </c>
    </row>
    <row r="8" spans="1:14" ht="15.95" customHeight="1" x14ac:dyDescent="0.25">
      <c r="A8" s="4" t="s">
        <v>8</v>
      </c>
      <c r="B8" s="5">
        <f>Main!B7</f>
        <v>1106</v>
      </c>
      <c r="C8" s="5">
        <f>Main!C7</f>
        <v>1100</v>
      </c>
      <c r="D8" s="5">
        <f>Main!D7</f>
        <v>1070</v>
      </c>
      <c r="E8" s="5">
        <f>Main!E7</f>
        <v>1385</v>
      </c>
      <c r="F8" s="8">
        <f>Main!F7</f>
        <v>4661</v>
      </c>
    </row>
    <row r="9" spans="1:14" ht="15.95" customHeight="1" x14ac:dyDescent="0.25">
      <c r="A9" s="4" t="s">
        <v>1</v>
      </c>
      <c r="B9" s="5">
        <f>Main!B8</f>
        <v>311</v>
      </c>
      <c r="C9" s="5">
        <f>Main!C8</f>
        <v>286</v>
      </c>
      <c r="D9" s="5">
        <f>Main!D8</f>
        <v>293</v>
      </c>
      <c r="E9" s="5">
        <f>Main!E8</f>
        <v>370</v>
      </c>
      <c r="F9" s="8">
        <f>Main!F8</f>
        <v>1260</v>
      </c>
    </row>
    <row r="10" spans="1:14" ht="15.95" customHeight="1" x14ac:dyDescent="0.25">
      <c r="A10" s="4" t="s">
        <v>2</v>
      </c>
      <c r="B10" s="5">
        <f>Main!B9</f>
        <v>230</v>
      </c>
      <c r="C10" s="5">
        <f>Main!C9</f>
        <v>203</v>
      </c>
      <c r="D10" s="5">
        <f>Main!D9</f>
        <v>211</v>
      </c>
      <c r="E10" s="5">
        <f>Main!E9</f>
        <v>272</v>
      </c>
      <c r="F10" s="8">
        <f>Main!F9</f>
        <v>916</v>
      </c>
    </row>
    <row r="11" spans="1:14" ht="15.95" customHeight="1" x14ac:dyDescent="0.25">
      <c r="A11" s="4" t="s">
        <v>3</v>
      </c>
      <c r="B11" s="5">
        <f>Main!B10</f>
        <v>140</v>
      </c>
      <c r="C11" s="5">
        <f>Main!C10</f>
        <v>131</v>
      </c>
      <c r="D11" s="5">
        <f>Main!D10</f>
        <v>140</v>
      </c>
      <c r="E11" s="5">
        <f>Main!E10</f>
        <v>168</v>
      </c>
      <c r="F11" s="8">
        <f>Main!F10</f>
        <v>579</v>
      </c>
    </row>
    <row r="12" spans="1:14" ht="15.95" customHeight="1" x14ac:dyDescent="0.25">
      <c r="A12" s="4" t="s">
        <v>17</v>
      </c>
      <c r="B12" s="5">
        <f>Main!B11</f>
        <v>88</v>
      </c>
      <c r="C12" s="5">
        <f>Main!C11</f>
        <v>60</v>
      </c>
      <c r="D12" s="5">
        <f>Main!D11</f>
        <v>69</v>
      </c>
      <c r="E12" s="5">
        <f>Main!E11</f>
        <v>85</v>
      </c>
      <c r="F12" s="8">
        <f>Main!F11</f>
        <v>302</v>
      </c>
    </row>
    <row r="13" spans="1:14" ht="15.95" customHeight="1" x14ac:dyDescent="0.25">
      <c r="A13" s="4" t="s">
        <v>18</v>
      </c>
      <c r="B13" s="5">
        <f>Main!B12</f>
        <v>186</v>
      </c>
      <c r="C13" s="5">
        <f>Main!C12</f>
        <v>151</v>
      </c>
      <c r="D13" s="5">
        <f>Main!D12</f>
        <v>151</v>
      </c>
      <c r="E13" s="5">
        <f>Main!E12</f>
        <v>195</v>
      </c>
      <c r="F13" s="8">
        <f>Main!F12</f>
        <v>683</v>
      </c>
    </row>
    <row r="14" spans="1:14" ht="15.95" customHeight="1" x14ac:dyDescent="0.25">
      <c r="A14" s="4" t="s">
        <v>4</v>
      </c>
      <c r="B14" s="5">
        <f>Main!B13</f>
        <v>546</v>
      </c>
      <c r="C14" s="5">
        <f>Main!C13</f>
        <v>593</v>
      </c>
      <c r="D14" s="5">
        <f>Main!D13</f>
        <v>527</v>
      </c>
      <c r="E14" s="5">
        <f>Main!E13</f>
        <v>678</v>
      </c>
      <c r="F14" s="8">
        <f>Main!F13</f>
        <v>2344</v>
      </c>
    </row>
    <row r="15" spans="1:14" ht="15.95" customHeight="1" x14ac:dyDescent="0.25">
      <c r="A15" s="4" t="s">
        <v>5</v>
      </c>
      <c r="B15" s="5">
        <f>Main!B14</f>
        <v>167</v>
      </c>
      <c r="C15" s="5">
        <f>Main!C14</f>
        <v>165</v>
      </c>
      <c r="D15" s="5">
        <f>Main!D14</f>
        <v>171</v>
      </c>
      <c r="E15" s="5">
        <f>Main!E14</f>
        <v>245</v>
      </c>
      <c r="F15" s="8">
        <f>Main!F14</f>
        <v>748</v>
      </c>
    </row>
    <row r="17" spans="1:10" ht="21" customHeight="1" x14ac:dyDescent="0.25">
      <c r="A17" s="18" t="s">
        <v>26</v>
      </c>
      <c r="B17" s="18"/>
      <c r="C17" s="18"/>
      <c r="D17" s="18"/>
      <c r="E17" s="18"/>
      <c r="F17" s="18"/>
      <c r="G17" s="12"/>
      <c r="H17" s="12"/>
      <c r="I17" s="12"/>
      <c r="J17" s="12"/>
    </row>
    <row r="19" spans="1:10" ht="15.75" x14ac:dyDescent="0.25">
      <c r="A19" s="3" t="s">
        <v>0</v>
      </c>
      <c r="B19" s="3" t="s">
        <v>9</v>
      </c>
      <c r="C19" s="3" t="s">
        <v>10</v>
      </c>
      <c r="D19" s="3" t="s">
        <v>11</v>
      </c>
      <c r="E19" s="3" t="s">
        <v>15</v>
      </c>
      <c r="F19" s="7" t="s">
        <v>16</v>
      </c>
    </row>
    <row r="20" spans="1:10" ht="15.75" x14ac:dyDescent="0.25">
      <c r="A20" s="4" t="s">
        <v>8</v>
      </c>
      <c r="B20" s="5">
        <f>Main!B19</f>
        <v>588</v>
      </c>
      <c r="C20" s="5">
        <f>Main!C19</f>
        <v>593</v>
      </c>
      <c r="D20" s="5">
        <f>Main!D19</f>
        <v>549</v>
      </c>
      <c r="E20" s="5">
        <f>Main!E19</f>
        <v>649</v>
      </c>
      <c r="F20" s="8">
        <f>Main!F19</f>
        <v>2379</v>
      </c>
    </row>
    <row r="21" spans="1:10" ht="15.75" x14ac:dyDescent="0.25">
      <c r="A21" s="4" t="s">
        <v>1</v>
      </c>
      <c r="B21" s="5">
        <f>Main!B20</f>
        <v>69</v>
      </c>
      <c r="C21" s="5">
        <f>Main!C20</f>
        <v>50</v>
      </c>
      <c r="D21" s="5">
        <f>Main!D20</f>
        <v>66</v>
      </c>
      <c r="E21" s="5">
        <f>Main!E20</f>
        <v>71</v>
      </c>
      <c r="F21" s="8">
        <f>Main!F20</f>
        <v>256</v>
      </c>
    </row>
    <row r="22" spans="1:10" ht="15.75" x14ac:dyDescent="0.25">
      <c r="A22" s="4" t="s">
        <v>2</v>
      </c>
      <c r="B22" s="5">
        <f>Main!B21</f>
        <v>88</v>
      </c>
      <c r="C22" s="5">
        <f>Main!C21</f>
        <v>81</v>
      </c>
      <c r="D22" s="5">
        <f>Main!D21</f>
        <v>71</v>
      </c>
      <c r="E22" s="5">
        <f>Main!E21</f>
        <v>98</v>
      </c>
      <c r="F22" s="8">
        <f>Main!F21</f>
        <v>338</v>
      </c>
    </row>
    <row r="23" spans="1:10" ht="15.75" x14ac:dyDescent="0.25">
      <c r="A23" s="4" t="s">
        <v>3</v>
      </c>
      <c r="B23" s="5">
        <f>Main!B22</f>
        <v>44</v>
      </c>
      <c r="C23" s="5">
        <f>Main!C22</f>
        <v>51</v>
      </c>
      <c r="D23" s="5">
        <f>Main!D22</f>
        <v>46</v>
      </c>
      <c r="E23" s="5">
        <f>Main!E22</f>
        <v>48</v>
      </c>
      <c r="F23" s="8">
        <f>Main!F22</f>
        <v>189</v>
      </c>
    </row>
    <row r="24" spans="1:10" ht="15.75" x14ac:dyDescent="0.25">
      <c r="A24" s="4" t="s">
        <v>17</v>
      </c>
      <c r="B24" s="5">
        <f>Main!B23</f>
        <v>41</v>
      </c>
      <c r="C24" s="5">
        <f>Main!C23</f>
        <v>41</v>
      </c>
      <c r="D24" s="5">
        <f>Main!D23</f>
        <v>29</v>
      </c>
      <c r="E24" s="5">
        <f>Main!E23</f>
        <v>28</v>
      </c>
      <c r="F24" s="8">
        <f>Main!F23</f>
        <v>139</v>
      </c>
    </row>
    <row r="25" spans="1:10" ht="15.75" x14ac:dyDescent="0.25">
      <c r="A25" s="4" t="s">
        <v>18</v>
      </c>
      <c r="B25" s="5">
        <f>Main!B24</f>
        <v>69</v>
      </c>
      <c r="C25" s="5">
        <f>Main!C24</f>
        <v>82</v>
      </c>
      <c r="D25" s="5">
        <f>Main!D24</f>
        <v>61</v>
      </c>
      <c r="E25" s="5">
        <f>Main!E24</f>
        <v>67</v>
      </c>
      <c r="F25" s="8">
        <f>Main!F24</f>
        <v>279</v>
      </c>
    </row>
    <row r="26" spans="1:10" ht="15.75" x14ac:dyDescent="0.25">
      <c r="A26" s="4" t="s">
        <v>4</v>
      </c>
      <c r="B26" s="5">
        <f>Main!B25</f>
        <v>326</v>
      </c>
      <c r="C26" s="5">
        <f>Main!C25</f>
        <v>333</v>
      </c>
      <c r="D26" s="5">
        <f>Main!D25</f>
        <v>297</v>
      </c>
      <c r="E26" s="5">
        <f>Main!E25</f>
        <v>350</v>
      </c>
      <c r="F26" s="8">
        <f>Main!F25</f>
        <v>1306</v>
      </c>
    </row>
    <row r="27" spans="1:10" ht="15.75" x14ac:dyDescent="0.25">
      <c r="A27" s="4" t="s">
        <v>5</v>
      </c>
      <c r="B27" s="5">
        <f>Main!B26</f>
        <v>54</v>
      </c>
      <c r="C27" s="5">
        <f>Main!C26</f>
        <v>57</v>
      </c>
      <c r="D27" s="5">
        <f>Main!D26</f>
        <v>61</v>
      </c>
      <c r="E27" s="5">
        <f>Main!E26</f>
        <v>78</v>
      </c>
      <c r="F27" s="8">
        <f>Main!F26</f>
        <v>250</v>
      </c>
    </row>
    <row r="29" spans="1:10" customFormat="1" ht="21" customHeight="1" x14ac:dyDescent="0.25"/>
    <row r="30" spans="1:10" customFormat="1" ht="21" customHeight="1" x14ac:dyDescent="0.25"/>
    <row r="31" spans="1:10" customFormat="1" x14ac:dyDescent="0.25"/>
    <row r="32" spans="1:10" customFormat="1" x14ac:dyDescent="0.25"/>
    <row r="33" customFormat="1" ht="15.95" customHeight="1" x14ac:dyDescent="0.25"/>
    <row r="34" customFormat="1" ht="15.95" customHeight="1" x14ac:dyDescent="0.25"/>
    <row r="35" customFormat="1" ht="15.95" customHeight="1" x14ac:dyDescent="0.25"/>
    <row r="36" customFormat="1" ht="15.95" customHeight="1" x14ac:dyDescent="0.25"/>
    <row r="37" customFormat="1" ht="15.95" customHeight="1" x14ac:dyDescent="0.25"/>
    <row r="38" customFormat="1" ht="15.95" customHeight="1" x14ac:dyDescent="0.25"/>
    <row r="39" customFormat="1" ht="15.95" customHeight="1" x14ac:dyDescent="0.25"/>
    <row r="40" customFormat="1" ht="15.95" customHeight="1" x14ac:dyDescent="0.25"/>
    <row r="41" customFormat="1" ht="15.95" customHeight="1" x14ac:dyDescent="0.25"/>
    <row r="42" customFormat="1" x14ac:dyDescent="0.25"/>
    <row r="43" customFormat="1" ht="21" customHeight="1" x14ac:dyDescent="0.25"/>
    <row r="44" customFormat="1" ht="21" customHeight="1" x14ac:dyDescent="0.25"/>
    <row r="45" customFormat="1" x14ac:dyDescent="0.25"/>
    <row r="46" customFormat="1" ht="15.95" customHeight="1" x14ac:dyDescent="0.25"/>
    <row r="47" customFormat="1" ht="15.95" customHeight="1" x14ac:dyDescent="0.25"/>
    <row r="48" customFormat="1" ht="15.95" customHeight="1" x14ac:dyDescent="0.25"/>
    <row r="49" customFormat="1" ht="15.95" customHeight="1" x14ac:dyDescent="0.25"/>
    <row r="50" customFormat="1" ht="15.95" customHeight="1" x14ac:dyDescent="0.25"/>
    <row r="51" customFormat="1" ht="15.95" customHeight="1" x14ac:dyDescent="0.25"/>
    <row r="52" customFormat="1" ht="15.95" customHeight="1" x14ac:dyDescent="0.25"/>
    <row r="53" customFormat="1" ht="15.95" customHeight="1" x14ac:dyDescent="0.25"/>
    <row r="54" customFormat="1" ht="15.95" customHeight="1" x14ac:dyDescent="0.25"/>
    <row r="55" customFormat="1" x14ac:dyDescent="0.25"/>
    <row r="56" customFormat="1" ht="21" customHeight="1" x14ac:dyDescent="0.25"/>
    <row r="57" customFormat="1" ht="21" customHeight="1" x14ac:dyDescent="0.25"/>
    <row r="58" customFormat="1" ht="21" customHeight="1" x14ac:dyDescent="0.25"/>
    <row r="59" customFormat="1" x14ac:dyDescent="0.25"/>
    <row r="60" customFormat="1" ht="15.95" customHeight="1" x14ac:dyDescent="0.25"/>
    <row r="61" customFormat="1" ht="15.95" customHeight="1" x14ac:dyDescent="0.25"/>
    <row r="62" customFormat="1" ht="15.95" customHeight="1" x14ac:dyDescent="0.25"/>
    <row r="63" customFormat="1" ht="15.95" customHeight="1" x14ac:dyDescent="0.25"/>
    <row r="64" customFormat="1" ht="15.95" customHeight="1" x14ac:dyDescent="0.25"/>
    <row r="65" spans="11:15" customFormat="1" ht="15.95" customHeight="1" x14ac:dyDescent="0.25"/>
    <row r="66" spans="11:15" customFormat="1" ht="15.95" customHeight="1" x14ac:dyDescent="0.25"/>
    <row r="67" spans="11:15" customFormat="1" ht="15.95" customHeight="1" x14ac:dyDescent="0.25"/>
    <row r="68" spans="11:15" customFormat="1" ht="15.95" customHeight="1" x14ac:dyDescent="0.25"/>
    <row r="69" spans="11:15" customFormat="1" x14ac:dyDescent="0.25"/>
    <row r="72" spans="11:15" ht="21" customHeight="1" x14ac:dyDescent="0.25">
      <c r="K72" s="1"/>
      <c r="L72" s="1"/>
      <c r="M72" s="1"/>
      <c r="O72" s="1"/>
    </row>
    <row r="73" spans="11:15" ht="21" customHeight="1" x14ac:dyDescent="0.25"/>
    <row r="75" spans="11:15" ht="15.95" customHeight="1" x14ac:dyDescent="0.25"/>
    <row r="76" spans="11:15" ht="15.95" customHeight="1" x14ac:dyDescent="0.25"/>
    <row r="77" spans="11:15" ht="15.95" customHeight="1" x14ac:dyDescent="0.25"/>
    <row r="78" spans="11:15" ht="15.95" customHeight="1" x14ac:dyDescent="0.25"/>
    <row r="79" spans="11:15" ht="15.95" customHeight="1" x14ac:dyDescent="0.25"/>
    <row r="80" spans="11:15" ht="15.95" customHeight="1" x14ac:dyDescent="0.25"/>
    <row r="81" spans="13:13" ht="15.95" customHeight="1" x14ac:dyDescent="0.25"/>
    <row r="82" spans="13:13" ht="15.95" customHeight="1" x14ac:dyDescent="0.25"/>
    <row r="86" spans="13:13" x14ac:dyDescent="0.25">
      <c r="M86" s="16" t="s">
        <v>6</v>
      </c>
    </row>
  </sheetData>
  <mergeCells count="4">
    <mergeCell ref="A5:F5"/>
    <mergeCell ref="A17:F17"/>
    <mergeCell ref="A1:F1"/>
    <mergeCell ref="A2:F2"/>
  </mergeCell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6"/>
  <sheetViews>
    <sheetView zoomScale="80" zoomScaleNormal="80" workbookViewId="0">
      <selection activeCell="V9" sqref="V9"/>
    </sheetView>
  </sheetViews>
  <sheetFormatPr defaultRowHeight="15" x14ac:dyDescent="0.25"/>
  <cols>
    <col min="1" max="1" width="31.28515625" style="16" bestFit="1" customWidth="1"/>
    <col min="2" max="7" width="11.7109375" style="16" customWidth="1"/>
    <col min="8" max="8" width="25.7109375" style="16" customWidth="1"/>
    <col min="9" max="14" width="11.7109375" style="16" customWidth="1"/>
    <col min="15" max="15" width="25.7109375" style="16" customWidth="1"/>
    <col min="16" max="20" width="11.7109375" style="16" customWidth="1"/>
    <col min="21" max="16384" width="9.140625" style="16"/>
  </cols>
  <sheetData>
    <row r="1" spans="1:20" ht="24.75" customHeight="1" x14ac:dyDescent="0.25">
      <c r="A1" s="17" t="s">
        <v>19</v>
      </c>
      <c r="B1" s="17"/>
      <c r="C1" s="17"/>
      <c r="D1" s="17"/>
      <c r="E1" s="17"/>
      <c r="F1" s="17"/>
    </row>
    <row r="2" spans="1:20" ht="21" x14ac:dyDescent="0.35">
      <c r="A2" s="18" t="s">
        <v>7</v>
      </c>
      <c r="B2" s="18"/>
      <c r="C2" s="18"/>
      <c r="D2" s="18"/>
      <c r="E2" s="18"/>
      <c r="F2" s="18"/>
      <c r="M2" s="2"/>
      <c r="N2" s="2"/>
    </row>
    <row r="5" spans="1:20" ht="21" customHeight="1" x14ac:dyDescent="0.25">
      <c r="A5" s="18" t="s">
        <v>20</v>
      </c>
      <c r="B5" s="18"/>
      <c r="C5" s="18"/>
      <c r="D5" s="18"/>
      <c r="E5" s="18"/>
      <c r="F5" s="18"/>
      <c r="G5" s="9"/>
      <c r="H5" s="18" t="s">
        <v>20</v>
      </c>
      <c r="I5" s="18"/>
      <c r="J5" s="18"/>
      <c r="K5" s="18"/>
      <c r="L5" s="18"/>
      <c r="M5" s="18"/>
      <c r="O5" s="18" t="s">
        <v>20</v>
      </c>
      <c r="P5" s="18"/>
      <c r="Q5" s="18"/>
      <c r="R5" s="18"/>
      <c r="S5" s="18"/>
      <c r="T5" s="18"/>
    </row>
    <row r="6" spans="1:20" ht="21" customHeight="1" x14ac:dyDescent="0.25">
      <c r="A6" s="18" t="s">
        <v>28</v>
      </c>
      <c r="B6" s="18"/>
      <c r="C6" s="18"/>
      <c r="D6" s="18"/>
      <c r="E6" s="18"/>
      <c r="F6" s="18"/>
      <c r="G6" s="9"/>
      <c r="H6" s="18" t="s">
        <v>30</v>
      </c>
      <c r="I6" s="18"/>
      <c r="J6" s="18"/>
      <c r="K6" s="18"/>
      <c r="L6" s="18"/>
      <c r="M6" s="18"/>
      <c r="O6" s="18" t="s">
        <v>29</v>
      </c>
      <c r="P6" s="18"/>
      <c r="Q6" s="18"/>
      <c r="R6" s="18"/>
      <c r="S6" s="18"/>
      <c r="T6" s="18"/>
    </row>
    <row r="8" spans="1:20" ht="15.75" x14ac:dyDescent="0.25">
      <c r="A8" s="3" t="str">
        <f>Main!A31</f>
        <v>Region</v>
      </c>
      <c r="B8" s="3" t="str">
        <f>Main!B31</f>
        <v>1979-1988</v>
      </c>
      <c r="C8" s="3" t="str">
        <f>Main!C31</f>
        <v>1989-1998</v>
      </c>
      <c r="D8" s="3" t="str">
        <f>Main!D31</f>
        <v>1999-2008</v>
      </c>
      <c r="E8" s="3" t="str">
        <f>Main!E31</f>
        <v>2009-2021</v>
      </c>
      <c r="F8" s="7" t="str">
        <f>Main!F31</f>
        <v>1979-2021</v>
      </c>
      <c r="H8" s="3" t="str">
        <f>Main!H31</f>
        <v>Region</v>
      </c>
      <c r="I8" s="3" t="str">
        <f>Main!I31</f>
        <v>1979-1988</v>
      </c>
      <c r="J8" s="3" t="str">
        <f>Main!J31</f>
        <v>1989-1998</v>
      </c>
      <c r="K8" s="3" t="str">
        <f>Main!K31</f>
        <v>1999-2008</v>
      </c>
      <c r="L8" s="3" t="str">
        <f>Main!L31</f>
        <v>2009-2021</v>
      </c>
      <c r="M8" s="7" t="str">
        <f>Main!M31</f>
        <v>1979-2021</v>
      </c>
      <c r="O8" s="3" t="str">
        <f>Main!O31</f>
        <v>Region</v>
      </c>
      <c r="P8" s="3" t="str">
        <f>Main!P31</f>
        <v>1979-1988</v>
      </c>
      <c r="Q8" s="3" t="str">
        <f>Main!Q31</f>
        <v>1989-1998</v>
      </c>
      <c r="R8" s="3" t="str">
        <f>Main!R31</f>
        <v>1999-2008</v>
      </c>
      <c r="S8" s="3" t="str">
        <f>Main!S31</f>
        <v>2009-2021</v>
      </c>
      <c r="T8" s="7" t="str">
        <f>Main!T31</f>
        <v>1979-2021</v>
      </c>
    </row>
    <row r="9" spans="1:20" ht="15.95" customHeight="1" x14ac:dyDescent="0.25">
      <c r="A9" s="4" t="str">
        <f>Main!A32</f>
        <v>Europe (XWS Domain)</v>
      </c>
      <c r="B9" s="5">
        <f>Main!B32</f>
        <v>333</v>
      </c>
      <c r="C9" s="5">
        <f>Main!C32</f>
        <v>315</v>
      </c>
      <c r="D9" s="5">
        <f>Main!D32</f>
        <v>297</v>
      </c>
      <c r="E9" s="5">
        <f>Main!E32</f>
        <v>347</v>
      </c>
      <c r="F9" s="8">
        <f>Main!F32</f>
        <v>1292</v>
      </c>
      <c r="H9" s="4" t="str">
        <f>Main!H32</f>
        <v>Europe (XWS Domain)</v>
      </c>
      <c r="I9" s="5">
        <f>Main!I32</f>
        <v>122</v>
      </c>
      <c r="J9" s="5">
        <f>Main!J32</f>
        <v>101</v>
      </c>
      <c r="K9" s="5">
        <f>Main!K32</f>
        <v>95</v>
      </c>
      <c r="L9" s="5">
        <f>Main!L32</f>
        <v>120</v>
      </c>
      <c r="M9" s="8">
        <f>Main!M32</f>
        <v>438</v>
      </c>
      <c r="O9" s="4" t="str">
        <f>Main!O32</f>
        <v>Europe (XWS Domain)</v>
      </c>
      <c r="P9" s="5">
        <f>Main!P32</f>
        <v>10</v>
      </c>
      <c r="Q9" s="5">
        <f>Main!Q32</f>
        <v>15</v>
      </c>
      <c r="R9" s="5">
        <f>Main!R32</f>
        <v>10</v>
      </c>
      <c r="S9" s="5">
        <f>Main!S32</f>
        <v>12</v>
      </c>
      <c r="T9" s="8">
        <f>Main!T32</f>
        <v>47</v>
      </c>
    </row>
    <row r="10" spans="1:20" ht="15.95" customHeight="1" x14ac:dyDescent="0.25">
      <c r="A10" s="4" t="str">
        <f>Main!A33</f>
        <v>UK</v>
      </c>
      <c r="B10" s="5">
        <f>Main!B33</f>
        <v>54</v>
      </c>
      <c r="C10" s="5">
        <f>Main!C33</f>
        <v>39</v>
      </c>
      <c r="D10" s="5">
        <f>Main!D33</f>
        <v>52</v>
      </c>
      <c r="E10" s="5">
        <f>Main!E33</f>
        <v>62</v>
      </c>
      <c r="F10" s="8">
        <f>Main!F33</f>
        <v>207</v>
      </c>
      <c r="H10" s="4" t="str">
        <f>Main!H33</f>
        <v>UK</v>
      </c>
      <c r="I10" s="5">
        <f>Main!I33</f>
        <v>21</v>
      </c>
      <c r="J10" s="5">
        <f>Main!J33</f>
        <v>12</v>
      </c>
      <c r="K10" s="5">
        <f>Main!K33</f>
        <v>22</v>
      </c>
      <c r="L10" s="5">
        <f>Main!L33</f>
        <v>26</v>
      </c>
      <c r="M10" s="8">
        <f>Main!M33</f>
        <v>81</v>
      </c>
      <c r="O10" s="4" t="str">
        <f>Main!O33</f>
        <v>UK</v>
      </c>
      <c r="P10" s="5">
        <f>Main!P33</f>
        <v>5</v>
      </c>
      <c r="Q10" s="5">
        <f>Main!Q33</f>
        <v>2</v>
      </c>
      <c r="R10" s="5">
        <f>Main!R33</f>
        <v>2</v>
      </c>
      <c r="S10" s="5">
        <f>Main!S33</f>
        <v>3</v>
      </c>
      <c r="T10" s="8">
        <f>Main!T33</f>
        <v>12</v>
      </c>
    </row>
    <row r="11" spans="1:20" ht="15.95" customHeight="1" x14ac:dyDescent="0.25">
      <c r="A11" s="4" t="str">
        <f>Main!A34</f>
        <v>France</v>
      </c>
      <c r="B11" s="5">
        <f>Main!B34</f>
        <v>62</v>
      </c>
      <c r="C11" s="5">
        <f>Main!C34</f>
        <v>46</v>
      </c>
      <c r="D11" s="5">
        <f>Main!D34</f>
        <v>42</v>
      </c>
      <c r="E11" s="5">
        <f>Main!E34</f>
        <v>60</v>
      </c>
      <c r="F11" s="8">
        <f>Main!F34</f>
        <v>210</v>
      </c>
      <c r="H11" s="4" t="str">
        <f>Main!H34</f>
        <v>France</v>
      </c>
      <c r="I11" s="5">
        <f>Main!I34</f>
        <v>20</v>
      </c>
      <c r="J11" s="5">
        <f>Main!J34</f>
        <v>11</v>
      </c>
      <c r="K11" s="5">
        <f>Main!K34</f>
        <v>11</v>
      </c>
      <c r="L11" s="5">
        <f>Main!L34</f>
        <v>14</v>
      </c>
      <c r="M11" s="8">
        <f>Main!M34</f>
        <v>56</v>
      </c>
      <c r="O11" s="4" t="str">
        <f>Main!O34</f>
        <v>France</v>
      </c>
      <c r="P11" s="5">
        <f>Main!P34</f>
        <v>0</v>
      </c>
      <c r="Q11" s="5">
        <f>Main!Q34</f>
        <v>0</v>
      </c>
      <c r="R11" s="5">
        <f>Main!R34</f>
        <v>3</v>
      </c>
      <c r="S11" s="5">
        <f>Main!S34</f>
        <v>0</v>
      </c>
      <c r="T11" s="8">
        <f>Main!T34</f>
        <v>3</v>
      </c>
    </row>
    <row r="12" spans="1:20" ht="15.95" customHeight="1" x14ac:dyDescent="0.25">
      <c r="A12" s="4" t="str">
        <f>Main!A35</f>
        <v>Germany</v>
      </c>
      <c r="B12" s="5">
        <f>Main!B35</f>
        <v>24</v>
      </c>
      <c r="C12" s="5">
        <f>Main!C35</f>
        <v>31</v>
      </c>
      <c r="D12" s="5">
        <f>Main!D35</f>
        <v>28</v>
      </c>
      <c r="E12" s="5">
        <f>Main!E35</f>
        <v>30</v>
      </c>
      <c r="F12" s="8">
        <f>Main!F35</f>
        <v>113</v>
      </c>
      <c r="H12" s="4" t="str">
        <f>Main!H35</f>
        <v>Germany</v>
      </c>
      <c r="I12" s="5">
        <f>Main!I35</f>
        <v>7</v>
      </c>
      <c r="J12" s="5">
        <f>Main!J35</f>
        <v>8</v>
      </c>
      <c r="K12" s="5">
        <f>Main!K35</f>
        <v>5</v>
      </c>
      <c r="L12" s="5">
        <f>Main!L35</f>
        <v>7</v>
      </c>
      <c r="M12" s="8">
        <f>Main!M35</f>
        <v>27</v>
      </c>
      <c r="O12" s="4" t="str">
        <f>Main!O35</f>
        <v>Germany</v>
      </c>
      <c r="P12" s="5">
        <f>Main!P35</f>
        <v>0</v>
      </c>
      <c r="Q12" s="5">
        <f>Main!Q35</f>
        <v>2</v>
      </c>
      <c r="R12" s="5">
        <f>Main!R35</f>
        <v>1</v>
      </c>
      <c r="S12" s="5">
        <f>Main!S35</f>
        <v>0</v>
      </c>
      <c r="T12" s="8">
        <f>Main!T35</f>
        <v>3</v>
      </c>
    </row>
    <row r="13" spans="1:20" ht="15.95" customHeight="1" x14ac:dyDescent="0.25">
      <c r="A13" s="4" t="str">
        <f>Main!A36</f>
        <v>BeNeLux</v>
      </c>
      <c r="B13" s="5">
        <f>Main!B36</f>
        <v>30</v>
      </c>
      <c r="C13" s="5">
        <f>Main!C36</f>
        <v>33</v>
      </c>
      <c r="D13" s="5">
        <f>Main!D36</f>
        <v>19</v>
      </c>
      <c r="E13" s="5">
        <f>Main!E36</f>
        <v>23</v>
      </c>
      <c r="F13" s="8">
        <f>Main!F36</f>
        <v>105</v>
      </c>
      <c r="H13" s="4" t="str">
        <f>Main!H36</f>
        <v>BeNeLux</v>
      </c>
      <c r="I13" s="5">
        <f>Main!I36</f>
        <v>14</v>
      </c>
      <c r="J13" s="5">
        <f>Main!J36</f>
        <v>10</v>
      </c>
      <c r="K13" s="5">
        <f>Main!K36</f>
        <v>7</v>
      </c>
      <c r="L13" s="5">
        <f>Main!L36</f>
        <v>7</v>
      </c>
      <c r="M13" s="8">
        <f>Main!M36</f>
        <v>38</v>
      </c>
      <c r="O13" s="4" t="str">
        <f>Main!O36</f>
        <v>BeNeLux</v>
      </c>
      <c r="P13" s="5">
        <f>Main!P36</f>
        <v>0</v>
      </c>
      <c r="Q13" s="5">
        <f>Main!Q36</f>
        <v>3</v>
      </c>
      <c r="R13" s="5">
        <f>Main!R36</f>
        <v>0</v>
      </c>
      <c r="S13" s="5">
        <f>Main!S36</f>
        <v>0</v>
      </c>
      <c r="T13" s="8">
        <f>Main!T36</f>
        <v>3</v>
      </c>
    </row>
    <row r="14" spans="1:20" ht="15.95" customHeight="1" x14ac:dyDescent="0.25">
      <c r="A14" s="4" t="str">
        <f>Main!A37</f>
        <v>BeNeLuxMark</v>
      </c>
      <c r="B14" s="5">
        <f>Main!B37</f>
        <v>48</v>
      </c>
      <c r="C14" s="5">
        <f>Main!C37</f>
        <v>65</v>
      </c>
      <c r="D14" s="5">
        <f>Main!D37</f>
        <v>40</v>
      </c>
      <c r="E14" s="5">
        <f>Main!E37</f>
        <v>45</v>
      </c>
      <c r="F14" s="8">
        <f>Main!F37</f>
        <v>198</v>
      </c>
      <c r="H14" s="4" t="str">
        <f>Main!H37</f>
        <v>BeNeLuxMark</v>
      </c>
      <c r="I14" s="5">
        <f>Main!I37</f>
        <v>22</v>
      </c>
      <c r="J14" s="5">
        <f>Main!J37</f>
        <v>21</v>
      </c>
      <c r="K14" s="5">
        <f>Main!K37</f>
        <v>16</v>
      </c>
      <c r="L14" s="5">
        <f>Main!L37</f>
        <v>12</v>
      </c>
      <c r="M14" s="8">
        <f>Main!M37</f>
        <v>71</v>
      </c>
      <c r="O14" s="4" t="str">
        <f>Main!O37</f>
        <v>BeNeLuxMark</v>
      </c>
      <c r="P14" s="5">
        <f>Main!P37</f>
        <v>0</v>
      </c>
      <c r="Q14" s="5">
        <f>Main!Q37</f>
        <v>4</v>
      </c>
      <c r="R14" s="5">
        <f>Main!R37</f>
        <v>2</v>
      </c>
      <c r="S14" s="5">
        <f>Main!S37</f>
        <v>1</v>
      </c>
      <c r="T14" s="8">
        <f>Main!T37</f>
        <v>7</v>
      </c>
    </row>
    <row r="15" spans="1:20" ht="15.95" customHeight="1" x14ac:dyDescent="0.25">
      <c r="A15" s="4" t="str">
        <f>Main!A38</f>
        <v>Scandinavia</v>
      </c>
      <c r="B15" s="5">
        <f>Main!B38</f>
        <v>161</v>
      </c>
      <c r="C15" s="5">
        <f>Main!C38</f>
        <v>149</v>
      </c>
      <c r="D15" s="5">
        <f>Main!D38</f>
        <v>142</v>
      </c>
      <c r="E15" s="5">
        <f>Main!E38</f>
        <v>153</v>
      </c>
      <c r="F15" s="8">
        <f>Main!F38</f>
        <v>605</v>
      </c>
      <c r="H15" s="4" t="str">
        <f>Main!H38</f>
        <v>Scandinavia</v>
      </c>
      <c r="I15" s="5">
        <f>Main!I38</f>
        <v>62</v>
      </c>
      <c r="J15" s="5">
        <f>Main!J38</f>
        <v>53</v>
      </c>
      <c r="K15" s="5">
        <f>Main!K38</f>
        <v>47</v>
      </c>
      <c r="L15" s="5">
        <f>Main!L38</f>
        <v>66</v>
      </c>
      <c r="M15" s="8">
        <f>Main!M38</f>
        <v>228</v>
      </c>
      <c r="O15" s="4" t="str">
        <f>Main!O38</f>
        <v>Scandinavia</v>
      </c>
      <c r="P15" s="5">
        <f>Main!P38</f>
        <v>7</v>
      </c>
      <c r="Q15" s="5">
        <f>Main!Q38</f>
        <v>11</v>
      </c>
      <c r="R15" s="5">
        <f>Main!R38</f>
        <v>5</v>
      </c>
      <c r="S15" s="5">
        <f>Main!S38</f>
        <v>11</v>
      </c>
      <c r="T15" s="8">
        <f>Main!T38</f>
        <v>34</v>
      </c>
    </row>
    <row r="16" spans="1:20" ht="15.95" customHeight="1" x14ac:dyDescent="0.25">
      <c r="A16" s="4" t="str">
        <f>Main!A39</f>
        <v>Iberian Peninsula</v>
      </c>
      <c r="B16" s="5">
        <f>Main!B39</f>
        <v>26</v>
      </c>
      <c r="C16" s="5">
        <f>Main!C39</f>
        <v>29</v>
      </c>
      <c r="D16" s="5">
        <f>Main!D39</f>
        <v>29</v>
      </c>
      <c r="E16" s="5">
        <f>Main!E39</f>
        <v>39</v>
      </c>
      <c r="F16" s="8">
        <f>Main!F39</f>
        <v>123</v>
      </c>
      <c r="H16" s="4" t="str">
        <f>Main!H39</f>
        <v>Iberian Peninsula</v>
      </c>
      <c r="I16" s="5">
        <f>Main!I39</f>
        <v>7</v>
      </c>
      <c r="J16" s="5">
        <f>Main!J39</f>
        <v>5</v>
      </c>
      <c r="K16" s="5">
        <f>Main!K39</f>
        <v>7</v>
      </c>
      <c r="L16" s="5">
        <f>Main!L39</f>
        <v>8</v>
      </c>
      <c r="M16" s="8">
        <f>Main!M39</f>
        <v>27</v>
      </c>
      <c r="O16" s="4" t="str">
        <f>Main!O39</f>
        <v>Iberian Peninsula</v>
      </c>
      <c r="P16" s="5">
        <f>Main!P39</f>
        <v>0</v>
      </c>
      <c r="Q16" s="5">
        <f>Main!Q39</f>
        <v>0</v>
      </c>
      <c r="R16" s="5">
        <f>Main!R39</f>
        <v>0</v>
      </c>
      <c r="S16" s="5">
        <f>Main!S39</f>
        <v>0</v>
      </c>
      <c r="T16" s="8">
        <f>Main!T39</f>
        <v>0</v>
      </c>
    </row>
    <row r="17" spans="11:15" ht="15.95" customHeight="1" x14ac:dyDescent="0.25"/>
    <row r="22" spans="11:15" ht="21" customHeight="1" x14ac:dyDescent="0.25">
      <c r="K22" s="1"/>
      <c r="L22" s="1"/>
      <c r="M22" s="1"/>
      <c r="O22" s="1"/>
    </row>
    <row r="23" spans="11:15" ht="21" customHeight="1" x14ac:dyDescent="0.25"/>
    <row r="25" spans="11:15" ht="15.95" customHeight="1" x14ac:dyDescent="0.25"/>
    <row r="26" spans="11:15" ht="15.95" customHeight="1" x14ac:dyDescent="0.25"/>
    <row r="27" spans="11:15" ht="15.95" customHeight="1" x14ac:dyDescent="0.25"/>
    <row r="28" spans="11:15" ht="15.95" customHeight="1" x14ac:dyDescent="0.25"/>
    <row r="29" spans="11:15" ht="15.95" customHeight="1" x14ac:dyDescent="0.25"/>
    <row r="30" spans="11:15" ht="15.95" customHeight="1" x14ac:dyDescent="0.25"/>
    <row r="31" spans="11:15" ht="15.95" customHeight="1" x14ac:dyDescent="0.25"/>
    <row r="32" spans="11:15" ht="15.95" customHeight="1" x14ac:dyDescent="0.25"/>
    <row r="36" spans="13:13" x14ac:dyDescent="0.25">
      <c r="M36" s="16" t="s">
        <v>6</v>
      </c>
    </row>
  </sheetData>
  <mergeCells count="8">
    <mergeCell ref="A1:F1"/>
    <mergeCell ref="A2:F2"/>
    <mergeCell ref="A6:F6"/>
    <mergeCell ref="H6:M6"/>
    <mergeCell ref="O6:T6"/>
    <mergeCell ref="A5:F5"/>
    <mergeCell ref="H5:M5"/>
    <mergeCell ref="O5:T5"/>
  </mergeCells>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5"/>
  <sheetViews>
    <sheetView zoomScale="80" zoomScaleNormal="80" workbookViewId="0">
      <selection activeCell="H1" sqref="H1"/>
    </sheetView>
  </sheetViews>
  <sheetFormatPr defaultRowHeight="15" x14ac:dyDescent="0.25"/>
  <cols>
    <col min="1" max="1" width="31.28515625" style="16" bestFit="1" customWidth="1"/>
    <col min="2" max="7" width="11.7109375" style="16" customWidth="1"/>
    <col min="8" max="8" width="25.7109375" style="16" customWidth="1"/>
    <col min="9" max="14" width="11.7109375" style="16" customWidth="1"/>
    <col min="15" max="15" width="25.7109375" style="16" customWidth="1"/>
    <col min="16" max="20" width="11.7109375" style="16" customWidth="1"/>
    <col min="21" max="16384" width="9.140625" style="16"/>
  </cols>
  <sheetData>
    <row r="1" spans="1:20" ht="24.75" customHeight="1" x14ac:dyDescent="0.25">
      <c r="A1" s="17" t="s">
        <v>19</v>
      </c>
      <c r="B1" s="17"/>
      <c r="C1" s="17"/>
      <c r="D1" s="17"/>
      <c r="E1" s="17"/>
      <c r="F1" s="17"/>
    </row>
    <row r="2" spans="1:20" ht="21" x14ac:dyDescent="0.35">
      <c r="A2" s="18" t="s">
        <v>7</v>
      </c>
      <c r="B2" s="18"/>
      <c r="C2" s="18"/>
      <c r="D2" s="18"/>
      <c r="E2" s="18"/>
      <c r="F2" s="18"/>
      <c r="M2" s="2"/>
      <c r="N2" s="2"/>
    </row>
    <row r="4" spans="1:20" x14ac:dyDescent="0.25">
      <c r="O4" s="13"/>
    </row>
    <row r="5" spans="1:20" ht="21" customHeight="1" x14ac:dyDescent="0.25">
      <c r="A5" s="18" t="s">
        <v>24</v>
      </c>
      <c r="B5" s="18"/>
      <c r="C5" s="18"/>
      <c r="D5" s="18"/>
      <c r="E5" s="18"/>
      <c r="F5" s="18"/>
      <c r="G5" s="9"/>
      <c r="H5" s="18" t="s">
        <v>24</v>
      </c>
      <c r="I5" s="18"/>
      <c r="J5" s="18"/>
      <c r="K5" s="18"/>
      <c r="L5" s="18"/>
      <c r="M5" s="18"/>
      <c r="O5" s="18" t="s">
        <v>24</v>
      </c>
      <c r="P5" s="18"/>
      <c r="Q5" s="18"/>
      <c r="R5" s="18"/>
      <c r="S5" s="18"/>
      <c r="T5" s="18"/>
    </row>
    <row r="6" spans="1:20" ht="21" customHeight="1" x14ac:dyDescent="0.25">
      <c r="A6" s="18" t="s">
        <v>21</v>
      </c>
      <c r="B6" s="18"/>
      <c r="C6" s="18"/>
      <c r="D6" s="18"/>
      <c r="E6" s="18"/>
      <c r="F6" s="18"/>
      <c r="G6" s="9"/>
      <c r="H6" s="18" t="s">
        <v>22</v>
      </c>
      <c r="I6" s="18"/>
      <c r="J6" s="18"/>
      <c r="K6" s="18"/>
      <c r="L6" s="18"/>
      <c r="M6" s="18"/>
      <c r="O6" s="18" t="s">
        <v>23</v>
      </c>
      <c r="P6" s="18"/>
      <c r="Q6" s="18"/>
      <c r="R6" s="18"/>
      <c r="S6" s="18"/>
      <c r="T6" s="18"/>
    </row>
    <row r="7" spans="1:20" ht="21" customHeight="1" x14ac:dyDescent="0.25"/>
    <row r="8" spans="1:20" ht="15.75" x14ac:dyDescent="0.25">
      <c r="A8" s="3" t="s">
        <v>0</v>
      </c>
      <c r="B8" s="3" t="s">
        <v>9</v>
      </c>
      <c r="C8" s="3" t="s">
        <v>10</v>
      </c>
      <c r="D8" s="3" t="s">
        <v>11</v>
      </c>
      <c r="E8" s="3" t="s">
        <v>12</v>
      </c>
      <c r="F8" s="7" t="s">
        <v>13</v>
      </c>
      <c r="H8" s="3" t="s">
        <v>0</v>
      </c>
      <c r="I8" s="3" t="s">
        <v>9</v>
      </c>
      <c r="J8" s="3" t="s">
        <v>10</v>
      </c>
      <c r="K8" s="3" t="s">
        <v>11</v>
      </c>
      <c r="L8" s="3" t="s">
        <v>12</v>
      </c>
      <c r="M8" s="7" t="s">
        <v>13</v>
      </c>
      <c r="O8" s="3" t="s">
        <v>0</v>
      </c>
      <c r="P8" s="3" t="s">
        <v>9</v>
      </c>
      <c r="Q8" s="3" t="s">
        <v>10</v>
      </c>
      <c r="R8" s="3" t="s">
        <v>11</v>
      </c>
      <c r="S8" s="3" t="s">
        <v>12</v>
      </c>
      <c r="T8" s="7" t="s">
        <v>13</v>
      </c>
    </row>
    <row r="9" spans="1:20" ht="15.95" customHeight="1" x14ac:dyDescent="0.25">
      <c r="A9" s="4" t="s">
        <v>8</v>
      </c>
      <c r="B9" s="6">
        <f>Main!B60</f>
        <v>5.99</v>
      </c>
      <c r="C9" s="6">
        <f>Main!C60</f>
        <v>7.71</v>
      </c>
      <c r="D9" s="6">
        <f>Main!D60</f>
        <v>7.12</v>
      </c>
      <c r="E9" s="6">
        <f>Main!E60</f>
        <v>5.56</v>
      </c>
      <c r="F9" s="8">
        <f>Main!F60</f>
        <v>6.55</v>
      </c>
      <c r="H9" s="4" t="s">
        <v>8</v>
      </c>
      <c r="I9" s="6">
        <f>Main!I60</f>
        <v>2.78</v>
      </c>
      <c r="J9" s="6">
        <f>Main!J60</f>
        <v>3.7</v>
      </c>
      <c r="K9" s="6">
        <f>Main!K60</f>
        <v>3.39</v>
      </c>
      <c r="L9" s="6">
        <f>Main!L60</f>
        <v>2.17</v>
      </c>
      <c r="M9" s="8">
        <f>Main!M60</f>
        <v>2.97</v>
      </c>
      <c r="O9" s="4" t="s">
        <v>8</v>
      </c>
      <c r="P9" s="6">
        <f>Main!P60</f>
        <v>1.07</v>
      </c>
      <c r="Q9" s="6">
        <f>Main!Q60</f>
        <v>3.03</v>
      </c>
      <c r="R9" s="6">
        <f>Main!R60</f>
        <v>2.59</v>
      </c>
      <c r="S9" s="6">
        <f>Main!S60</f>
        <v>5.92</v>
      </c>
      <c r="T9" s="8">
        <f>Main!T60</f>
        <v>2.14</v>
      </c>
    </row>
    <row r="10" spans="1:20" ht="15.95" customHeight="1" x14ac:dyDescent="0.25">
      <c r="A10" s="4" t="s">
        <v>1</v>
      </c>
      <c r="B10" s="6">
        <f>Main!B61</f>
        <v>5.15</v>
      </c>
      <c r="C10" s="6">
        <f>Main!C61</f>
        <v>3.53</v>
      </c>
      <c r="D10" s="6">
        <f>Main!D61</f>
        <v>5.53</v>
      </c>
      <c r="E10" s="6">
        <f>Main!E61</f>
        <v>4.88</v>
      </c>
      <c r="F10" s="8">
        <f>Main!F61</f>
        <v>4.7699999999999996</v>
      </c>
      <c r="H10" s="4" t="s">
        <v>1</v>
      </c>
      <c r="I10" s="6">
        <f>Main!I61</f>
        <v>2.6</v>
      </c>
      <c r="J10" s="6">
        <f>Main!J61</f>
        <v>2.96</v>
      </c>
      <c r="K10" s="6">
        <f>Main!K61</f>
        <v>2.87</v>
      </c>
      <c r="L10" s="6">
        <f>Main!L61</f>
        <v>2.36</v>
      </c>
      <c r="M10" s="8">
        <f>Main!M61</f>
        <v>2.68</v>
      </c>
      <c r="O10" s="4" t="s">
        <v>1</v>
      </c>
      <c r="P10" s="6">
        <f>Main!P61</f>
        <v>0.98</v>
      </c>
      <c r="Q10" s="6">
        <f>Main!Q61</f>
        <v>0</v>
      </c>
      <c r="R10" s="6">
        <f>Main!R61</f>
        <v>2.37</v>
      </c>
      <c r="S10" s="6">
        <f>Main!S61</f>
        <v>0</v>
      </c>
      <c r="T10" s="8">
        <f>Main!T61</f>
        <v>1.9</v>
      </c>
    </row>
    <row r="11" spans="1:20" ht="15.95" customHeight="1" x14ac:dyDescent="0.25">
      <c r="A11" s="4" t="s">
        <v>2</v>
      </c>
      <c r="B11" s="6">
        <f>Main!B62</f>
        <v>0.82899999999999996</v>
      </c>
      <c r="C11" s="6">
        <f>Main!C62</f>
        <v>2.17</v>
      </c>
      <c r="D11" s="6">
        <f>Main!D62</f>
        <v>4.47</v>
      </c>
      <c r="E11" s="6">
        <f>Main!E62</f>
        <v>2.12</v>
      </c>
      <c r="F11" s="8">
        <f>Main!F62</f>
        <v>2.34</v>
      </c>
      <c r="H11" s="4" t="s">
        <v>2</v>
      </c>
      <c r="I11" s="6">
        <f>Main!I62</f>
        <v>0.53500000000000003</v>
      </c>
      <c r="J11" s="6">
        <f>Main!J62</f>
        <v>1.63</v>
      </c>
      <c r="K11" s="6">
        <f>Main!K62</f>
        <v>3.31</v>
      </c>
      <c r="L11" s="6">
        <f>Main!L62</f>
        <v>0.80200000000000005</v>
      </c>
      <c r="M11" s="8">
        <f>Main!M62</f>
        <v>1.48</v>
      </c>
      <c r="O11" s="4" t="s">
        <v>2</v>
      </c>
      <c r="P11" s="6">
        <f>Main!P62</f>
        <v>0</v>
      </c>
      <c r="Q11" s="6">
        <f>Main!Q62</f>
        <v>0</v>
      </c>
      <c r="R11" s="6">
        <f>Main!R62</f>
        <v>0</v>
      </c>
      <c r="S11" s="6">
        <f>Main!S62</f>
        <v>0</v>
      </c>
      <c r="T11" s="8">
        <f>Main!T62</f>
        <v>0</v>
      </c>
    </row>
    <row r="12" spans="1:20" ht="15.95" customHeight="1" x14ac:dyDescent="0.25">
      <c r="A12" s="4" t="s">
        <v>3</v>
      </c>
      <c r="B12" s="6">
        <f>Main!B63</f>
        <v>0</v>
      </c>
      <c r="C12" s="6">
        <f>Main!C63</f>
        <v>1.41</v>
      </c>
      <c r="D12" s="6">
        <f>Main!D63</f>
        <v>0.58799999999999997</v>
      </c>
      <c r="E12" s="6">
        <f>Main!E63</f>
        <v>0.66600000000000004</v>
      </c>
      <c r="F12" s="8">
        <f>Main!F63</f>
        <v>0.87</v>
      </c>
      <c r="H12" s="4" t="s">
        <v>3</v>
      </c>
      <c r="I12" s="6">
        <f>Main!I63</f>
        <v>0</v>
      </c>
      <c r="J12" s="6">
        <f>Main!J63</f>
        <v>0</v>
      </c>
      <c r="K12" s="6">
        <f>Main!K63</f>
        <v>0</v>
      </c>
      <c r="L12" s="6">
        <f>Main!L63</f>
        <v>0</v>
      </c>
      <c r="M12" s="8">
        <f>Main!M63</f>
        <v>0</v>
      </c>
      <c r="O12" s="4" t="s">
        <v>3</v>
      </c>
      <c r="P12" s="6">
        <f>Main!P63</f>
        <v>0</v>
      </c>
      <c r="Q12" s="6">
        <f>Main!Q63</f>
        <v>0</v>
      </c>
      <c r="R12" s="6">
        <f>Main!R63</f>
        <v>0</v>
      </c>
      <c r="S12" s="6">
        <f>Main!S63</f>
        <v>0</v>
      </c>
      <c r="T12" s="8">
        <f>Main!T63</f>
        <v>0</v>
      </c>
    </row>
    <row r="13" spans="1:20" ht="15.95" customHeight="1" x14ac:dyDescent="0.25">
      <c r="A13" s="4" t="str">
        <f>Main!A64</f>
        <v>BeNeLux</v>
      </c>
      <c r="B13" s="6">
        <f>Main!B64</f>
        <v>1.61</v>
      </c>
      <c r="C13" s="6">
        <f>Main!C64</f>
        <v>2.75</v>
      </c>
      <c r="D13" s="6">
        <f>Main!D64</f>
        <v>0.745</v>
      </c>
      <c r="E13" s="6">
        <f>Main!E64</f>
        <v>0.69899999999999995</v>
      </c>
      <c r="F13" s="8">
        <f>Main!F64</f>
        <v>1.58</v>
      </c>
      <c r="H13" s="4" t="str">
        <f>Main!H64</f>
        <v>BeNeLux</v>
      </c>
      <c r="I13" s="6">
        <f>Main!I64</f>
        <v>1.1000000000000001</v>
      </c>
      <c r="J13" s="6">
        <f>Main!J64</f>
        <v>3.28</v>
      </c>
      <c r="K13" s="6">
        <f>Main!K64</f>
        <v>0</v>
      </c>
      <c r="L13" s="6">
        <f>Main!L64</f>
        <v>0</v>
      </c>
      <c r="M13" s="8">
        <f>Main!M64</f>
        <v>2.19</v>
      </c>
      <c r="O13" s="4" t="str">
        <f>Main!O64</f>
        <v>BeNeLux</v>
      </c>
      <c r="P13" s="6">
        <f>Main!P64</f>
        <v>0</v>
      </c>
      <c r="Q13" s="6">
        <f>Main!Q64</f>
        <v>0.94899999999999995</v>
      </c>
      <c r="R13" s="6">
        <f>Main!R64</f>
        <v>0</v>
      </c>
      <c r="S13" s="6">
        <f>Main!S64</f>
        <v>0</v>
      </c>
      <c r="T13" s="8">
        <f>Main!T64</f>
        <v>0.94899999999999995</v>
      </c>
    </row>
    <row r="14" spans="1:20" ht="15.95" customHeight="1" x14ac:dyDescent="0.25">
      <c r="A14" s="4" t="s">
        <v>14</v>
      </c>
      <c r="B14" s="6">
        <f>Main!B65</f>
        <v>3.61</v>
      </c>
      <c r="C14" s="6">
        <f>Main!C65</f>
        <v>2.9</v>
      </c>
      <c r="D14" s="6">
        <f>Main!D65</f>
        <v>3.97</v>
      </c>
      <c r="E14" s="6">
        <f>Main!E65</f>
        <v>2.16</v>
      </c>
      <c r="F14" s="8">
        <f>Main!F65</f>
        <v>3.14</v>
      </c>
      <c r="H14" s="4" t="s">
        <v>14</v>
      </c>
      <c r="I14" s="6">
        <f>Main!I65</f>
        <v>2.15</v>
      </c>
      <c r="J14" s="6">
        <f>Main!J65</f>
        <v>2.42</v>
      </c>
      <c r="K14" s="6">
        <f>Main!K65</f>
        <v>6.27</v>
      </c>
      <c r="L14" s="6">
        <f>Main!L65</f>
        <v>3.52</v>
      </c>
      <c r="M14" s="8">
        <f>Main!M65</f>
        <v>3.32</v>
      </c>
      <c r="O14" s="4" t="s">
        <v>14</v>
      </c>
      <c r="P14" s="6">
        <f>Main!P65</f>
        <v>0</v>
      </c>
      <c r="Q14" s="6">
        <f>Main!Q65</f>
        <v>0.94899999999999995</v>
      </c>
      <c r="R14" s="6">
        <f>Main!R65</f>
        <v>2.12</v>
      </c>
      <c r="S14" s="6">
        <f>Main!S65</f>
        <v>0</v>
      </c>
      <c r="T14" s="8">
        <f>Main!T65</f>
        <v>1.53</v>
      </c>
    </row>
    <row r="15" spans="1:20" ht="15.95" customHeight="1" x14ac:dyDescent="0.25">
      <c r="A15" s="4" t="s">
        <v>4</v>
      </c>
      <c r="B15" s="6">
        <f>Main!B66</f>
        <v>1.94</v>
      </c>
      <c r="C15" s="6">
        <f>Main!C66</f>
        <v>2.09</v>
      </c>
      <c r="D15" s="6">
        <f>Main!D66</f>
        <v>2.0699999999999998</v>
      </c>
      <c r="E15" s="6">
        <f>Main!E66</f>
        <v>1.7</v>
      </c>
      <c r="F15" s="8">
        <f>Main!F66</f>
        <v>1.94</v>
      </c>
      <c r="H15" s="4" t="s">
        <v>4</v>
      </c>
      <c r="I15" s="6">
        <f>Main!I66</f>
        <v>1.44</v>
      </c>
      <c r="J15" s="6">
        <f>Main!J66</f>
        <v>1.24</v>
      </c>
      <c r="K15" s="6">
        <f>Main!K66</f>
        <v>1.0900000000000001</v>
      </c>
      <c r="L15" s="6">
        <f>Main!L66</f>
        <v>1.21</v>
      </c>
      <c r="M15" s="8">
        <f>Main!M66</f>
        <v>1.25</v>
      </c>
      <c r="O15" s="4" t="s">
        <v>4</v>
      </c>
      <c r="P15" s="6">
        <f>Main!P66</f>
        <v>0.73899999999999999</v>
      </c>
      <c r="Q15" s="6">
        <f>Main!Q66</f>
        <v>1.65</v>
      </c>
      <c r="R15" s="6">
        <f>Main!R66</f>
        <v>0</v>
      </c>
      <c r="S15" s="6">
        <f>Main!S66</f>
        <v>0.59199999999999997</v>
      </c>
      <c r="T15" s="8">
        <f>Main!T66</f>
        <v>1.1599999999999999</v>
      </c>
    </row>
    <row r="16" spans="1:20" ht="15.95" customHeight="1" x14ac:dyDescent="0.25">
      <c r="A16" s="4" t="s">
        <v>5</v>
      </c>
      <c r="B16" s="6">
        <f>Main!B67</f>
        <v>1.53</v>
      </c>
      <c r="C16" s="6">
        <f>Main!C67</f>
        <v>0.38800000000000001</v>
      </c>
      <c r="D16" s="6">
        <f>Main!D67</f>
        <v>1.17</v>
      </c>
      <c r="E16" s="6">
        <f>Main!E67</f>
        <v>0.47</v>
      </c>
      <c r="F16" s="8">
        <f>Main!F67</f>
        <v>0.87</v>
      </c>
      <c r="H16" s="4" t="s">
        <v>5</v>
      </c>
      <c r="I16" s="6">
        <f>Main!I67</f>
        <v>0.94</v>
      </c>
      <c r="J16" s="6">
        <f>Main!J67</f>
        <v>0</v>
      </c>
      <c r="K16" s="6">
        <f>Main!K67</f>
        <v>0.72699999999999998</v>
      </c>
      <c r="L16" s="6">
        <f>Main!L67</f>
        <v>0.66</v>
      </c>
      <c r="M16" s="8">
        <f>Main!M67</f>
        <v>0.82</v>
      </c>
      <c r="O16" s="4" t="s">
        <v>5</v>
      </c>
      <c r="P16" s="6">
        <f>Main!P67</f>
        <v>0</v>
      </c>
      <c r="Q16" s="6">
        <f>Main!Q67</f>
        <v>0</v>
      </c>
      <c r="R16" s="6">
        <f>Main!R67</f>
        <v>0</v>
      </c>
      <c r="S16" s="6">
        <f>Main!S67</f>
        <v>0</v>
      </c>
      <c r="T16" s="8">
        <f>Main!T67</f>
        <v>0</v>
      </c>
    </row>
    <row r="17" spans="11:15" ht="15.95" customHeight="1" x14ac:dyDescent="0.25"/>
    <row r="21" spans="11:15" ht="21" customHeight="1" x14ac:dyDescent="0.25">
      <c r="K21" s="1"/>
      <c r="L21" s="1"/>
      <c r="M21" s="1"/>
      <c r="O21" s="1"/>
    </row>
    <row r="22" spans="11:15" ht="21" customHeight="1" x14ac:dyDescent="0.25"/>
    <row r="24" spans="11:15" ht="15.95" customHeight="1" x14ac:dyDescent="0.25"/>
    <row r="25" spans="11:15" ht="15.95" customHeight="1" x14ac:dyDescent="0.25"/>
    <row r="26" spans="11:15" ht="15.95" customHeight="1" x14ac:dyDescent="0.25"/>
    <row r="27" spans="11:15" ht="15.95" customHeight="1" x14ac:dyDescent="0.25"/>
    <row r="28" spans="11:15" ht="15.95" customHeight="1" x14ac:dyDescent="0.25"/>
    <row r="29" spans="11:15" ht="15.95" customHeight="1" x14ac:dyDescent="0.25"/>
    <row r="30" spans="11:15" ht="15.95" customHeight="1" x14ac:dyDescent="0.25"/>
    <row r="31" spans="11:15" ht="15.95" customHeight="1" x14ac:dyDescent="0.25"/>
    <row r="35" spans="13:13" x14ac:dyDescent="0.25">
      <c r="M35" s="16" t="s">
        <v>6</v>
      </c>
    </row>
  </sheetData>
  <mergeCells count="8">
    <mergeCell ref="A1:F1"/>
    <mergeCell ref="A2:F2"/>
    <mergeCell ref="A6:F6"/>
    <mergeCell ref="H6:M6"/>
    <mergeCell ref="O6:T6"/>
    <mergeCell ref="A5:F5"/>
    <mergeCell ref="H5:M5"/>
    <mergeCell ref="O5:T5"/>
  </mergeCells>
  <pageMargins left="0.7" right="0.7" top="0.75" bottom="0.75" header="0.3" footer="0.3"/>
  <pageSetup paperSize="9"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204c783a-96cf-4a0f-a0fc-232f03230527" ContentTypeId="0x0101008BF0FBB838BCD748BD563AED518C571405" PreviousValue="false"/>
</file>

<file path=customXml/item2.xml><?xml version="1.0" encoding="utf-8"?>
<p:properties xmlns:p="http://schemas.microsoft.com/office/2006/metadata/properties" xmlns:xsi="http://www.w3.org/2001/XMLSchema-instance" xmlns:pc="http://schemas.microsoft.com/office/infopath/2007/PartnerControls">
  <documentManagement>
    <ProjectID xmlns="1467fb8b-7944-4202-8e80-6a5cf0d18287" xsi:nil="true"/>
    <OpportunityID xmlns="1467fb8b-7944-4202-8e80-6a5cf0d18287" xsi:nil="true"/>
    <DocCTLanguage xmlns="1467fb8b-7944-4202-8e80-6a5cf0d18287">English</DocCTLanguage>
    <ClientID xmlns="1467fb8b-7944-4202-8e80-6a5cf0d18287" xsi:nil="true"/>
    <TaxKeywordTaxHTField xmlns="1467fb8b-7944-4202-8e80-6a5cf0d18287">
      <Terms xmlns="http://schemas.microsoft.com/office/infopath/2007/PartnerControls"/>
    </TaxKeywordTaxHTField>
    <DocumentAudience xmlns="1467fb8b-7944-4202-8e80-6a5cf0d18287">CGI only</DocumentAudience>
    <Classification xmlns="1467fb8b-7944-4202-8e80-6a5cf0d18287">Internal</Classification>
    <d03104a6d34b444fb9971a4d8e41064a xmlns="1467fb8b-7944-4202-8e80-6a5cf0d18287">
      <Terms xmlns="http://schemas.microsoft.com/office/infopath/2007/PartnerControls"/>
    </d03104a6d34b444fb9971a4d8e41064a>
    <ContractID xmlns="1467fb8b-7944-4202-8e80-6a5cf0d18287" xsi:nil="true"/>
    <ie2d883865e24cb2a65058c0b220779a xmlns="1467fb8b-7944-4202-8e80-6a5cf0d18287">
      <Terms xmlns="http://schemas.microsoft.com/office/infopath/2007/PartnerControls">
        <TermInfo xmlns="http://schemas.microsoft.com/office/infopath/2007/PartnerControls">
          <TermName xmlns="http://schemas.microsoft.com/office/infopath/2007/PartnerControls">Deliverable</TermName>
          <TermId xmlns="http://schemas.microsoft.com/office/infopath/2007/PartnerControls">77d647fd-345e-4fd2-a591-0069a78d4a4d</TermId>
        </TermInfo>
      </Terms>
    </ie2d883865e24cb2a65058c0b220779a>
    <DLCPolicyLabelLock xmlns="ba9db4f4-339c-4cc9-80d1-c223958a04a7" xsi:nil="true"/>
    <Abstract xmlns="1467fb8b-7944-4202-8e80-6a5cf0d18287" xsi:nil="true"/>
    <TaxCatchAll xmlns="1467fb8b-7944-4202-8e80-6a5cf0d18287">
      <Value>5</Value>
    </TaxCatchAll>
    <ProjectFileTopic xmlns="1467fb8b-7944-4202-8e80-6a5cf0d18287">Program/Project management</ProjectFileTopic>
    <AuthorEnsemble xmlns="1467fb8b-7944-4202-8e80-6a5cf0d18287" xsi:nil="true"/>
    <PublishedDate xmlns="http://schemas.microsoft.com/sharepoint/v3" xsi:nil="true"/>
    <DLCPolicyLabelClientValue xmlns="ba9db4f4-339c-4cc9-80d1-c223958a04a7">{_UIVersionString}</DLCPolicyLabelClientValue>
    <ChangeRequestID xmlns="1467fb8b-7944-4202-8e80-6a5cf0d18287" xsi:nil="true"/>
    <i85fc926d10a45efbad452e9e78f262a xmlns="1467fb8b-7944-4202-8e80-6a5cf0d18287">
      <Terms xmlns="http://schemas.microsoft.com/office/infopath/2007/PartnerControls"/>
    </i85fc926d10a45efbad452e9e78f262a>
    <_dlc_DocId xmlns="33238cd2-e3e9-4e17-9e41-3c3af12ecb78">AM2XTC5VV4ZZ-929550150-857</_dlc_DocId>
    <_dlc_DocIdUrl xmlns="33238cd2-e3e9-4e17-9e41-3c3af12ecb78">
      <Url>https://ensemble.ent.cgi.com/client/87506/WISC/_layouts/15/DocIdRedir.aspx?ID=AM2XTC5VV4ZZ-929550150-857</Url>
      <Description>AM2XTC5VV4ZZ-929550150-857</Description>
    </_dlc_DocIdUrl>
    <DLCPolicyLabelValue xmlns="ba9db4f4-339c-4cc9-80d1-c223958a04a7">{_UIVersionString}</DLCPolicyLabelValue>
  </documentManagement>
</p:properties>
</file>

<file path=customXml/item3.xml><?xml version="1.0" encoding="utf-8"?>
<ct:contentTypeSchema xmlns:ct="http://schemas.microsoft.com/office/2006/metadata/contentType" xmlns:ma="http://schemas.microsoft.com/office/2006/metadata/properties/metaAttributes" ct:_="" ma:_="" ma:contentTypeName="Project File" ma:contentTypeID="0x0101008BF0FBB838BCD748BD563AED518C5714050096CBF41C594ADE4D9FADCFB6C168A682" ma:contentTypeVersion="12" ma:contentTypeDescription="" ma:contentTypeScope="" ma:versionID="ff7676da23b82d67ab9ed60eecf4a1df">
  <xsd:schema xmlns:xsd="http://www.w3.org/2001/XMLSchema" xmlns:xs="http://www.w3.org/2001/XMLSchema" xmlns:p="http://schemas.microsoft.com/office/2006/metadata/properties" xmlns:ns1="http://schemas.microsoft.com/sharepoint/v3" xmlns:ns2="1467fb8b-7944-4202-8e80-6a5cf0d18287" xmlns:ns3="33238cd2-e3e9-4e17-9e41-3c3af12ecb78" xmlns:ns4="ba9db4f4-339c-4cc9-80d1-c223958a04a7" targetNamespace="http://schemas.microsoft.com/office/2006/metadata/properties" ma:root="true" ma:fieldsID="a99abece7d8c7d437768ca55c55965dd" ns1:_="" ns2:_="" ns3:_="" ns4:_="">
    <xsd:import namespace="http://schemas.microsoft.com/sharepoint/v3"/>
    <xsd:import namespace="1467fb8b-7944-4202-8e80-6a5cf0d18287"/>
    <xsd:import namespace="33238cd2-e3e9-4e17-9e41-3c3af12ecb78"/>
    <xsd:import namespace="ba9db4f4-339c-4cc9-80d1-c223958a04a7"/>
    <xsd:element name="properties">
      <xsd:complexType>
        <xsd:sequence>
          <xsd:element name="documentManagement">
            <xsd:complexType>
              <xsd:all>
                <xsd:element ref="ns2:AuthorEnsemble" minOccurs="0"/>
                <xsd:element ref="ns1:PublishedDate" minOccurs="0"/>
                <xsd:element ref="ns2:DocumentAudience"/>
                <xsd:element ref="ns2:ProjectFileTopic" minOccurs="0"/>
                <xsd:element ref="ns2:DocCTLanguage" minOccurs="0"/>
                <xsd:element ref="ns2:Classification"/>
                <xsd:element ref="ns2:Abstract" minOccurs="0"/>
                <xsd:element ref="ns2:ChangeRequestID" minOccurs="0"/>
                <xsd:element ref="ns2:ClientID" minOccurs="0"/>
                <xsd:element ref="ns2:OpportunityID" minOccurs="0"/>
                <xsd:element ref="ns2:ContractID" minOccurs="0"/>
                <xsd:element ref="ns2:ProjectID" minOccurs="0"/>
                <xsd:element ref="ns2:i85fc926d10a45efbad452e9e78f262a" minOccurs="0"/>
                <xsd:element ref="ns2:TaxKeywordTaxHTField" minOccurs="0"/>
                <xsd:element ref="ns2:d03104a6d34b444fb9971a4d8e41064a" minOccurs="0"/>
                <xsd:element ref="ns2:TaxCatchAll" minOccurs="0"/>
                <xsd:element ref="ns2:ie2d883865e24cb2a65058c0b220779a" minOccurs="0"/>
                <xsd:element ref="ns2:TaxCatchAllLabel" minOccurs="0"/>
                <xsd:element ref="ns3:_dlc_DocId" minOccurs="0"/>
                <xsd:element ref="ns3:_dlc_DocIdUrl" minOccurs="0"/>
                <xsd:element ref="ns3:_dlc_DocIdPersistId" minOccurs="0"/>
                <xsd:element ref="ns1:_dlc_Exempt" minOccurs="0"/>
                <xsd:element ref="ns4:DLCPolicyLabelValue" minOccurs="0"/>
                <xsd:element ref="ns4:DLCPolicyLabelClientValue" minOccurs="0"/>
                <xsd:element ref="ns4:DLCPolicyLabelLock"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edDate" ma:index="3" nillable="true" ma:displayName="Published Date" ma:format="DateOnly" ma:internalName="PublishedDate" ma:readOnly="false">
      <xsd:simpleType>
        <xsd:restriction base="dms:DateTime"/>
      </xsd:simpleType>
    </xsd:element>
    <xsd:element name="_dlc_Exempt" ma:index="33" nillable="true" ma:displayName="Exempt from Policy"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467fb8b-7944-4202-8e80-6a5cf0d18287" elementFormDefault="qualified">
    <xsd:import namespace="http://schemas.microsoft.com/office/2006/documentManagement/types"/>
    <xsd:import namespace="http://schemas.microsoft.com/office/infopath/2007/PartnerControls"/>
    <xsd:element name="AuthorEnsemble" ma:index="2" nillable="true" ma:displayName="Author" ma:description="The name of the CGI approval authority." ma:internalName="AuthorEnsemble" ma:readOnly="false">
      <xsd:simpleType>
        <xsd:restriction base="dms:Text"/>
      </xsd:simpleType>
    </xsd:element>
    <xsd:element name="DocumentAudience" ma:index="5" ma:displayName="Document Audience" ma:default="CGI only" ma:description="" ma:internalName="DocumentAudience" ma:readOnly="false">
      <xsd:simpleType>
        <xsd:restriction base="dms:Choice">
          <xsd:enumeration value="CGI only"/>
          <xsd:enumeration value="Approved for client communications"/>
        </xsd:restriction>
      </xsd:simpleType>
    </xsd:element>
    <xsd:element name="ProjectFileTopic" ma:index="6" nillable="true" ma:displayName="Topic" ma:default="Program/Project management" ma:description="" ma:internalName="ProjectFileTopic" ma:readOnly="false">
      <xsd:simpleType>
        <xsd:restriction base="dms:Choice">
          <xsd:enumeration value="Analysis and design"/>
          <xsd:enumeration value="Application Development"/>
          <xsd:enumeration value="Architecture"/>
          <xsd:enumeration value="Business process modeling"/>
          <xsd:enumeration value="Change management"/>
          <xsd:enumeration value="Implementation"/>
          <xsd:enumeration value="Program/Project management"/>
          <xsd:enumeration value="Project delivery"/>
          <xsd:enumeration value="Release and Deployment management"/>
          <xsd:enumeration value="Requirements gathering"/>
          <xsd:enumeration value="Suppliers management"/>
          <xsd:enumeration value="Test"/>
          <xsd:enumeration value="Training"/>
          <xsd:enumeration value="Transition/transformation"/>
        </xsd:restriction>
      </xsd:simpleType>
    </xsd:element>
    <xsd:element name="DocCTLanguage" ma:index="8" nillable="true" ma:displayName="Language" ma:default="English" ma:description="" ma:internalName="DocCTLanguage" ma:readOnly="false">
      <xsd:simpleType>
        <xsd:restriction base="dms:Choice">
          <xsd:enumeration value="English"/>
          <xsd:enumeration value="French"/>
        </xsd:restriction>
      </xsd:simpleType>
    </xsd:element>
    <xsd:element name="Classification" ma:index="9" ma:displayName="Classification" ma:default="Internal" ma:description="As per information classification policy." ma:internalName="Classification" ma:readOnly="false">
      <xsd:simpleType>
        <xsd:restriction base="dms:Choice">
          <xsd:enumeration value="Internal"/>
          <xsd:enumeration value="Public"/>
          <xsd:enumeration value="Confidential"/>
          <xsd:enumeration value="Highly confidential"/>
        </xsd:restriction>
      </xsd:simpleType>
    </xsd:element>
    <xsd:element name="Abstract" ma:index="10" nillable="true" ma:displayName="Abstract" ma:description="" ma:internalName="Abstract" ma:readOnly="false">
      <xsd:simpleType>
        <xsd:restriction base="dms:Note">
          <xsd:maxLength value="255"/>
        </xsd:restriction>
      </xsd:simpleType>
    </xsd:element>
    <xsd:element name="ChangeRequestID" ma:index="11" nillable="true" ma:displayName="Change Request ID" ma:description="" ma:internalName="ChangeRequestID" ma:readOnly="false">
      <xsd:simpleType>
        <xsd:restriction base="dms:Text"/>
      </xsd:simpleType>
    </xsd:element>
    <xsd:element name="ClientID" ma:index="14" nillable="true" ma:displayName="Client ID" ma:description="(PSA-CRM - Sales funnel #)" ma:internalName="ClientID">
      <xsd:simpleType>
        <xsd:restriction base="dms:Text">
          <xsd:maxLength value="255"/>
        </xsd:restriction>
      </xsd:simpleType>
    </xsd:element>
    <xsd:element name="OpportunityID" ma:index="15" nillable="true" ma:displayName="Opportunity ID" ma:description="(PSA-CRM - Sales funnel #)" ma:internalName="OpportunityID">
      <xsd:simpleType>
        <xsd:restriction base="dms:Text">
          <xsd:maxLength value="255"/>
        </xsd:restriction>
      </xsd:simpleType>
    </xsd:element>
    <xsd:element name="ContractID" ma:index="16" nillable="true" ma:displayName="Contract ID" ma:description="" ma:internalName="ContractID" ma:readOnly="false">
      <xsd:simpleType>
        <xsd:restriction base="dms:Text"/>
      </xsd:simpleType>
    </xsd:element>
    <xsd:element name="ProjectID" ma:index="17" nillable="true" ma:displayName="Project ID" ma:description="" ma:internalName="ProjectID" ma:readOnly="false">
      <xsd:simpleType>
        <xsd:restriction base="dms:Text"/>
      </xsd:simpleType>
    </xsd:element>
    <xsd:element name="i85fc926d10a45efbad452e9e78f262a" ma:index="23" nillable="true" ma:taxonomy="true" ma:internalName="i85fc926d10a45efbad452e9e78f262a" ma:taxonomyFieldName="CountryRMJurisdiction" ma:displayName="Country RM Jurisdiction" ma:readOnly="false" ma:fieldId="{285fc926-d10a-45ef-bad4-52e9e78f262a}" ma:sspId="204c783a-96cf-4a0f-a0fc-232f03230527" ma:termSetId="8fe0e76e-13ab-4aa3-aef5-217f3c272257" ma:anchorId="00000000-0000-0000-0000-000000000000" ma:open="false" ma:isKeyword="false">
      <xsd:complexType>
        <xsd:sequence>
          <xsd:element ref="pc:Terms" minOccurs="0" maxOccurs="1"/>
        </xsd:sequence>
      </xsd:complexType>
    </xsd:element>
    <xsd:element name="TaxKeywordTaxHTField" ma:index="24" nillable="true" ma:taxonomy="true" ma:internalName="TaxKeywordTaxHTField" ma:taxonomyFieldName="TaxKeyword" ma:displayName="Enterprise Keywords" ma:readOnly="false" ma:fieldId="{23f27201-bee3-471e-b2e7-b64fd8b7ca38}" ma:taxonomyMulti="true" ma:sspId="204c783a-96cf-4a0f-a0fc-232f03230527" ma:termSetId="00000000-0000-0000-0000-000000000000" ma:anchorId="00000000-0000-0000-0000-000000000000" ma:open="true" ma:isKeyword="true">
      <xsd:complexType>
        <xsd:sequence>
          <xsd:element ref="pc:Terms" minOccurs="0" maxOccurs="1"/>
        </xsd:sequence>
      </xsd:complexType>
    </xsd:element>
    <xsd:element name="d03104a6d34b444fb9971a4d8e41064a" ma:index="25" nillable="true" ma:taxonomy="true" ma:internalName="d03104a6d34b444fb9971a4d8e41064a" ma:taxonomyFieldName="SBUBUContentOwner" ma:displayName="SBU/BU Content Owner" ma:readOnly="false" ma:fieldId="{d03104a6-d34b-444f-b997-1a4d8e41064a}" ma:sspId="204c783a-96cf-4a0f-a0fc-232f03230527" ma:termSetId="d99e8ed4-fc5d-43fa-94ab-5d6ef9c16d49" ma:anchorId="00000000-0000-0000-0000-000000000000" ma:open="false" ma:isKeyword="false">
      <xsd:complexType>
        <xsd:sequence>
          <xsd:element ref="pc:Terms" minOccurs="0" maxOccurs="1"/>
        </xsd:sequence>
      </xsd:complexType>
    </xsd:element>
    <xsd:element name="TaxCatchAll" ma:index="26" nillable="true" ma:displayName="Taxonomy Catch All Column" ma:hidden="true" ma:list="{9c5c82ed-58b5-40aa-be1b-48dcacdd066e}" ma:internalName="TaxCatchAll" ma:showField="CatchAllData" ma:web="33238cd2-e3e9-4e17-9e41-3c3af12ecb78">
      <xsd:complexType>
        <xsd:complexContent>
          <xsd:extension base="dms:MultiChoiceLookup">
            <xsd:sequence>
              <xsd:element name="Value" type="dms:Lookup" maxOccurs="unbounded" minOccurs="0" nillable="true"/>
            </xsd:sequence>
          </xsd:extension>
        </xsd:complexContent>
      </xsd:complexType>
    </xsd:element>
    <xsd:element name="ie2d883865e24cb2a65058c0b220779a" ma:index="28" ma:taxonomy="true" ma:internalName="ie2d883865e24cb2a65058c0b220779a" ma:taxonomyFieldName="ProjectFileDocument" ma:displayName="Document Type" ma:readOnly="false" ma:default="5;#Deliverable|77d647fd-345e-4fd2-a591-0069a78d4a4d" ma:fieldId="{2e2d8838-65e2-4cb2-a650-58c0b220779a}" ma:sspId="204c783a-96cf-4a0f-a0fc-232f03230527" ma:termSetId="462f9cae-d6b2-4ceb-a226-a9aedfa0d98a" ma:anchorId="7239ed02-257d-4c8e-bd1a-f41c60acdbbf" ma:open="false" ma:isKeyword="false">
      <xsd:complexType>
        <xsd:sequence>
          <xsd:element ref="pc:Terms" minOccurs="0" maxOccurs="1"/>
        </xsd:sequence>
      </xsd:complexType>
    </xsd:element>
    <xsd:element name="TaxCatchAllLabel" ma:index="29" nillable="true" ma:displayName="Taxonomy Catch All Column1" ma:hidden="true" ma:list="{9c5c82ed-58b5-40aa-be1b-48dcacdd066e}" ma:internalName="TaxCatchAllLabel" ma:readOnly="true" ma:showField="CatchAllDataLabel" ma:web="33238cd2-e3e9-4e17-9e41-3c3af12ecb7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3238cd2-e3e9-4e17-9e41-3c3af12ecb78" elementFormDefault="qualified">
    <xsd:import namespace="http://schemas.microsoft.com/office/2006/documentManagement/types"/>
    <xsd:import namespace="http://schemas.microsoft.com/office/infopath/2007/PartnerControls"/>
    <xsd:element name="_dlc_DocId" ma:index="30" nillable="true" ma:displayName="Document ID Value" ma:description="The value of the document ID assigned to this item." ma:internalName="_dlc_DocId" ma:readOnly="true">
      <xsd:simpleType>
        <xsd:restriction base="dms:Text"/>
      </xsd:simpleType>
    </xsd:element>
    <xsd:element name="_dlc_DocIdUrl" ma:index="3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2"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a9db4f4-339c-4cc9-80d1-c223958a04a7" elementFormDefault="qualified">
    <xsd:import namespace="http://schemas.microsoft.com/office/2006/documentManagement/types"/>
    <xsd:import namespace="http://schemas.microsoft.com/office/infopath/2007/PartnerControls"/>
    <xsd:element name="DLCPolicyLabelValue" ma:index="34" nillable="true" ma:displayName="Label" ma:description="Stores the current value of the label." ma:internalName="DLCPolicyLabelValue" ma:readOnly="true">
      <xsd:simpleType>
        <xsd:restriction base="dms:Note">
          <xsd:maxLength value="255"/>
        </xsd:restriction>
      </xsd:simpleType>
    </xsd:element>
    <xsd:element name="DLCPolicyLabelClientValue" ma:index="35" nillable="true" ma:displayName="Client Label Value" ma:description="Stores the last label value computed on the client." ma:hidden="true" ma:internalName="DLCPolicyLabelClientValue" ma:readOnly="false">
      <xsd:simpleType>
        <xsd:restriction base="dms:Note"/>
      </xsd:simpleType>
    </xsd:element>
    <xsd:element name="DLCPolicyLabelLock" ma:index="36" nillable="true" ma:displayName="Label Locked" ma:description="Indicates whether the label should be updated when item properties are modified." ma:hidden="true" ma:internalName="DLCPolicyLabelLock"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p:Policy xmlns:p="office.server.policy" id="" local="true">
  <p:Name>Project File Info Policy</p:Name>
  <p:Description>Project File Info Policy</p:Description>
  <p:Statement>Project File Info Policy</p:Statement>
  <p:PolicyItems>
    <p:PolicyItem featureId="Microsoft.Office.RecordsManagement.PolicyFeatures.PolicyLabel" staticId="0x0101008BF0FBB838BCD748BD563AED518C5714050096CBF41C594ADE4D9FADCFB6C168A682|801092262" UniqueId="3a7b0a19-1c25-436d-a677-4980e5ab81b3">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segment type="metadata">_UIVersionString</segment>
        </label>
      </p:CustomData>
    </p:PolicyItem>
  </p:PolicyItems>
</p:Policy>
</file>

<file path=customXml/item6.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5572F9F-0437-4413-B48C-5D86DB21D6ED}">
  <ds:schemaRefs>
    <ds:schemaRef ds:uri="Microsoft.SharePoint.Taxonomy.ContentTypeSync"/>
  </ds:schemaRefs>
</ds:datastoreItem>
</file>

<file path=customXml/itemProps2.xml><?xml version="1.0" encoding="utf-8"?>
<ds:datastoreItem xmlns:ds="http://schemas.openxmlformats.org/officeDocument/2006/customXml" ds:itemID="{3DCC96C7-63A3-4EE3-A2C3-92DFA023F4B2}">
  <ds:schemaRefs>
    <ds:schemaRef ds:uri="http://schemas.microsoft.com/sharepoint/v3"/>
    <ds:schemaRef ds:uri="http://purl.org/dc/terms/"/>
    <ds:schemaRef ds:uri="ba9db4f4-339c-4cc9-80d1-c223958a04a7"/>
    <ds:schemaRef ds:uri="http://schemas.microsoft.com/office/2006/documentManagement/types"/>
    <ds:schemaRef ds:uri="http://schemas.microsoft.com/office/infopath/2007/PartnerControls"/>
    <ds:schemaRef ds:uri="http://schemas.openxmlformats.org/package/2006/metadata/core-properties"/>
    <ds:schemaRef ds:uri="33238cd2-e3e9-4e17-9e41-3c3af12ecb78"/>
    <ds:schemaRef ds:uri="http://purl.org/dc/elements/1.1/"/>
    <ds:schemaRef ds:uri="http://schemas.microsoft.com/office/2006/metadata/properties"/>
    <ds:schemaRef ds:uri="1467fb8b-7944-4202-8e80-6a5cf0d18287"/>
    <ds:schemaRef ds:uri="http://www.w3.org/XML/1998/namespace"/>
    <ds:schemaRef ds:uri="http://purl.org/dc/dcmitype/"/>
  </ds:schemaRefs>
</ds:datastoreItem>
</file>

<file path=customXml/itemProps3.xml><?xml version="1.0" encoding="utf-8"?>
<ds:datastoreItem xmlns:ds="http://schemas.openxmlformats.org/officeDocument/2006/customXml" ds:itemID="{5299B1C6-9E88-4CAD-8675-58AC003AB7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467fb8b-7944-4202-8e80-6a5cf0d18287"/>
    <ds:schemaRef ds:uri="33238cd2-e3e9-4e17-9e41-3c3af12ecb78"/>
    <ds:schemaRef ds:uri="ba9db4f4-339c-4cc9-80d1-c223958a04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33CE78B-A820-4358-80CC-FD2E546F04A1}">
  <ds:schemaRefs>
    <ds:schemaRef ds:uri="http://schemas.microsoft.com/sharepoint/v3/contenttype/forms"/>
  </ds:schemaRefs>
</ds:datastoreItem>
</file>

<file path=customXml/itemProps5.xml><?xml version="1.0" encoding="utf-8"?>
<ds:datastoreItem xmlns:ds="http://schemas.openxmlformats.org/officeDocument/2006/customXml" ds:itemID="{8EFB0E82-AA5A-4E02-8D23-8DCD122F289B}">
  <ds:schemaRefs>
    <ds:schemaRef ds:uri="office.server.policy"/>
  </ds:schemaRefs>
</ds:datastoreItem>
</file>

<file path=customXml/itemProps6.xml><?xml version="1.0" encoding="utf-8"?>
<ds:datastoreItem xmlns:ds="http://schemas.openxmlformats.org/officeDocument/2006/customXml" ds:itemID="{1A70DEBF-FD8E-42DE-97F7-4BF4766D0345}">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Graphs - Total No Storms</vt:lpstr>
      <vt:lpstr>Graphs - Total No Extr. Storms</vt:lpstr>
      <vt:lpstr>Graphs - Average SSI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zd907959</dc:creator>
  <cp:lastModifiedBy>Whitelaw, Alan</cp:lastModifiedBy>
  <dcterms:created xsi:type="dcterms:W3CDTF">2017-07-04T12:59:28Z</dcterms:created>
  <dcterms:modified xsi:type="dcterms:W3CDTF">2021-11-17T14:11:49Z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0x0101008BF0FBB838BCD748BD563AED518C5714050096CBF41C594ADE4D9FADCFB6C168A682</vt:lpwstr>
  </property>
  <property fmtid="{D5CDD505-2E9C-101B-9397-08002B2CF9AE}" pid="3" name="_dlc_DocIdItemGuid">
    <vt:lpwstr>c8714280-baed-4e88-b1a6-be850be592a6</vt:lpwstr>
  </property>
  <property fmtid="{D5CDD505-2E9C-101B-9397-08002B2CF9AE}" pid="4" name="MSIP_Label_6be7ebee-5b98-4973-86ef-ae3752ea54e7_Enabled">
    <vt:lpwstr>true</vt:lpwstr>
  </property>
  <property fmtid="{D5CDD505-2E9C-101B-9397-08002B2CF9AE}" pid="5" name="MSIP_Label_6be7ebee-5b98-4973-86ef-ae3752ea54e7_SetDate">
    <vt:lpwstr>2021-06-21T15:37:49Z</vt:lpwstr>
  </property>
  <property fmtid="{D5CDD505-2E9C-101B-9397-08002B2CF9AE}" pid="6" name="MSIP_Label_6be7ebee-5b98-4973-86ef-ae3752ea54e7_Method">
    <vt:lpwstr>Privileged</vt:lpwstr>
  </property>
  <property fmtid="{D5CDD505-2E9C-101B-9397-08002B2CF9AE}" pid="7" name="MSIP_Label_6be7ebee-5b98-4973-86ef-ae3752ea54e7_Name">
    <vt:lpwstr>Customer Classification</vt:lpwstr>
  </property>
  <property fmtid="{D5CDD505-2E9C-101B-9397-08002B2CF9AE}" pid="8" name="MSIP_Label_6be7ebee-5b98-4973-86ef-ae3752ea54e7_SiteId">
    <vt:lpwstr>b9fec68c-c92d-461e-9a97-3d03a0f18b82</vt:lpwstr>
  </property>
  <property fmtid="{D5CDD505-2E9C-101B-9397-08002B2CF9AE}" pid="9" name="MSIP_Label_6be7ebee-5b98-4973-86ef-ae3752ea54e7_ActionId">
    <vt:lpwstr>0e60f903-c95c-4b9c-9ff8-68f4a8174fe6</vt:lpwstr>
  </property>
  <property fmtid="{D5CDD505-2E9C-101B-9397-08002B2CF9AE}" pid="10" name="MSIP_Label_6be7ebee-5b98-4973-86ef-ae3752ea54e7_ContentBits">
    <vt:lpwstr>0</vt:lpwstr>
  </property>
</Properties>
</file>